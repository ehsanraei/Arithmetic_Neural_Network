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05ee91040f7e34/Thesis_Materials/Paper1/paper 1 new/ArithmeticNN/"/>
    </mc:Choice>
  </mc:AlternateContent>
  <xr:revisionPtr revIDLastSave="4" documentId="13_ncr:1_{4643B501-D90B-724D-911D-D398897620BD}" xr6:coauthVersionLast="47" xr6:coauthVersionMax="47" xr10:uidLastSave="{3F6B9611-DB34-9448-AF89-9FAB3C005339}"/>
  <bookViews>
    <workbookView xWindow="680" yWindow="740" windowWidth="28040" windowHeight="16580" activeTab="2" xr2:uid="{E9685ED4-8968-304B-A64D-0C54D1C7EA39}"/>
  </bookViews>
  <sheets>
    <sheet name="rydberg" sheetId="1" r:id="rId1"/>
    <sheet name="ideal_gas" sheetId="2" r:id="rId2"/>
    <sheet name="schechter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5" l="1"/>
  <c r="I3" i="5"/>
  <c r="J3" i="5" s="1"/>
  <c r="I4" i="5"/>
  <c r="J4" i="5"/>
  <c r="I5" i="5"/>
  <c r="J5" i="5"/>
  <c r="I6" i="5"/>
  <c r="J6" i="5"/>
  <c r="I7" i="5"/>
  <c r="J7" i="5" s="1"/>
  <c r="I8" i="5"/>
  <c r="J8" i="5"/>
  <c r="I9" i="5"/>
  <c r="J9" i="5"/>
  <c r="I10" i="5"/>
  <c r="J10" i="5"/>
  <c r="I11" i="5"/>
  <c r="J11" i="5" s="1"/>
  <c r="I12" i="5"/>
  <c r="J12" i="5"/>
  <c r="I13" i="5"/>
  <c r="J13" i="5"/>
  <c r="I14" i="5"/>
  <c r="J14" i="5"/>
  <c r="I15" i="5"/>
  <c r="J15" i="5" s="1"/>
  <c r="I16" i="5"/>
  <c r="J16" i="5"/>
  <c r="I17" i="5"/>
  <c r="J17" i="5"/>
  <c r="I18" i="5"/>
  <c r="J18" i="5"/>
  <c r="I19" i="5"/>
  <c r="J19" i="5" s="1"/>
  <c r="I20" i="5"/>
  <c r="J20" i="5"/>
  <c r="I21" i="5"/>
  <c r="J21" i="5"/>
  <c r="I22" i="5"/>
  <c r="J22" i="5"/>
  <c r="I23" i="5"/>
  <c r="J23" i="5" s="1"/>
  <c r="I24" i="5"/>
  <c r="J24" i="5"/>
  <c r="I25" i="5"/>
  <c r="J25" i="5"/>
  <c r="I26" i="5"/>
  <c r="J26" i="5"/>
  <c r="I27" i="5"/>
  <c r="J27" i="5" s="1"/>
  <c r="I28" i="5"/>
  <c r="J28" i="5"/>
  <c r="I2" i="5"/>
  <c r="J3" i="2"/>
  <c r="K3" i="2" s="1"/>
  <c r="J4" i="2"/>
  <c r="K4" i="2"/>
  <c r="J5" i="2"/>
  <c r="K5" i="2" s="1"/>
  <c r="J6" i="2"/>
  <c r="K6" i="2" s="1"/>
  <c r="J7" i="2"/>
  <c r="K7" i="2" s="1"/>
  <c r="J8" i="2"/>
  <c r="K8" i="2"/>
  <c r="J9" i="2"/>
  <c r="K9" i="2"/>
  <c r="J10" i="2"/>
  <c r="K10" i="2" s="1"/>
  <c r="J11" i="2"/>
  <c r="K11" i="2" s="1"/>
  <c r="J12" i="2"/>
  <c r="K12" i="2"/>
  <c r="J13" i="2"/>
  <c r="K13" i="2"/>
  <c r="J14" i="2"/>
  <c r="K14" i="2" s="1"/>
  <c r="J15" i="2"/>
  <c r="K15" i="2" s="1"/>
  <c r="J16" i="2"/>
  <c r="K16" i="2"/>
  <c r="J17" i="2"/>
  <c r="K17" i="2"/>
  <c r="J18" i="2"/>
  <c r="K18" i="2" s="1"/>
  <c r="J19" i="2"/>
  <c r="K19" i="2" s="1"/>
  <c r="J20" i="2"/>
  <c r="K20" i="2"/>
  <c r="J21" i="2"/>
  <c r="K21" i="2"/>
  <c r="J22" i="2"/>
  <c r="K22" i="2" s="1"/>
  <c r="J23" i="2"/>
  <c r="K23" i="2" s="1"/>
  <c r="J24" i="2"/>
  <c r="K24" i="2"/>
  <c r="J25" i="2"/>
  <c r="K25" i="2"/>
  <c r="J26" i="2"/>
  <c r="K26" i="2" s="1"/>
  <c r="J27" i="2"/>
  <c r="K27" i="2" s="1"/>
  <c r="J28" i="2"/>
  <c r="K28" i="2"/>
  <c r="J29" i="2"/>
  <c r="K29" i="2"/>
  <c r="J30" i="2"/>
  <c r="K30" i="2" s="1"/>
  <c r="J31" i="2"/>
  <c r="K31" i="2" s="1"/>
  <c r="K2" i="2"/>
  <c r="J2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2" i="1"/>
</calcChain>
</file>

<file path=xl/sharedStrings.xml><?xml version="1.0" encoding="utf-8"?>
<sst xmlns="http://schemas.openxmlformats.org/spreadsheetml/2006/main" count="14" uniqueCount="12">
  <si>
    <t>n1</t>
  </si>
  <si>
    <t>n2</t>
  </si>
  <si>
    <t>y</t>
  </si>
  <si>
    <t>y_eq</t>
  </si>
  <si>
    <t>noise added</t>
  </si>
  <si>
    <t>ln(y+noise)</t>
  </si>
  <si>
    <t>n</t>
  </si>
  <si>
    <t>T</t>
  </si>
  <si>
    <t>V</t>
  </si>
  <si>
    <t>t(without noise)</t>
  </si>
  <si>
    <t>L</t>
  </si>
  <si>
    <t>y (without noise)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</si>
</sst>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rydberg!$C$1</c:f>
              <c:strCache>
                <c:ptCount val="1"/>
                <c:pt idx="0">
                  <c:v>n2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rydberg!$B$2:$B$51</c:f>
              <c:numCache>
                <c:formatCode>General</c:formatCode>
                <c:ptCount val="50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4</c:v>
                </c:pt>
                <c:pt idx="4">
                  <c:v>6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  <c:pt idx="12">
                  <c:v>1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1</c:v>
                </c:pt>
                <c:pt idx="17">
                  <c:v>4</c:v>
                </c:pt>
                <c:pt idx="18">
                  <c:v>6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4</c:v>
                </c:pt>
                <c:pt idx="24">
                  <c:v>3</c:v>
                </c:pt>
                <c:pt idx="25">
                  <c:v>5</c:v>
                </c:pt>
                <c:pt idx="26">
                  <c:v>3</c:v>
                </c:pt>
                <c:pt idx="27">
                  <c:v>6</c:v>
                </c:pt>
                <c:pt idx="28">
                  <c:v>4</c:v>
                </c:pt>
                <c:pt idx="29">
                  <c:v>4</c:v>
                </c:pt>
                <c:pt idx="30">
                  <c:v>2</c:v>
                </c:pt>
                <c:pt idx="31">
                  <c:v>4</c:v>
                </c:pt>
                <c:pt idx="32">
                  <c:v>6</c:v>
                </c:pt>
                <c:pt idx="33">
                  <c:v>1</c:v>
                </c:pt>
                <c:pt idx="34">
                  <c:v>2</c:v>
                </c:pt>
                <c:pt idx="35">
                  <c:v>5</c:v>
                </c:pt>
                <c:pt idx="36">
                  <c:v>4</c:v>
                </c:pt>
                <c:pt idx="37">
                  <c:v>3</c:v>
                </c:pt>
                <c:pt idx="38">
                  <c:v>1</c:v>
                </c:pt>
                <c:pt idx="39">
                  <c:v>6</c:v>
                </c:pt>
                <c:pt idx="40">
                  <c:v>6</c:v>
                </c:pt>
                <c:pt idx="41">
                  <c:v>4</c:v>
                </c:pt>
                <c:pt idx="42">
                  <c:v>3</c:v>
                </c:pt>
                <c:pt idx="43">
                  <c:v>5</c:v>
                </c:pt>
                <c:pt idx="44">
                  <c:v>3</c:v>
                </c:pt>
                <c:pt idx="45">
                  <c:v>4</c:v>
                </c:pt>
                <c:pt idx="46">
                  <c:v>1</c:v>
                </c:pt>
                <c:pt idx="47">
                  <c:v>4</c:v>
                </c:pt>
                <c:pt idx="48">
                  <c:v>1</c:v>
                </c:pt>
                <c:pt idx="49">
                  <c:v>1</c:v>
                </c:pt>
              </c:numCache>
            </c:numRef>
          </c:xVal>
          <c:yVal>
            <c:numRef>
              <c:f>rydberg!$C$2:$C$51</c:f>
              <c:numCache>
                <c:formatCode>General</c:formatCode>
                <c:ptCount val="50"/>
                <c:pt idx="0">
                  <c:v>5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7</c:v>
                </c:pt>
                <c:pt idx="5">
                  <c:v>3</c:v>
                </c:pt>
                <c:pt idx="6">
                  <c:v>5</c:v>
                </c:pt>
                <c:pt idx="7">
                  <c:v>7</c:v>
                </c:pt>
                <c:pt idx="8">
                  <c:v>6</c:v>
                </c:pt>
                <c:pt idx="9">
                  <c:v>5</c:v>
                </c:pt>
                <c:pt idx="10">
                  <c:v>7</c:v>
                </c:pt>
                <c:pt idx="11">
                  <c:v>5</c:v>
                </c:pt>
                <c:pt idx="12">
                  <c:v>2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2</c:v>
                </c:pt>
                <c:pt idx="17">
                  <c:v>6</c:v>
                </c:pt>
                <c:pt idx="18">
                  <c:v>7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7</c:v>
                </c:pt>
                <c:pt idx="23">
                  <c:v>6</c:v>
                </c:pt>
                <c:pt idx="24">
                  <c:v>4</c:v>
                </c:pt>
                <c:pt idx="25">
                  <c:v>7</c:v>
                </c:pt>
                <c:pt idx="26">
                  <c:v>5</c:v>
                </c:pt>
                <c:pt idx="27">
                  <c:v>7</c:v>
                </c:pt>
                <c:pt idx="28">
                  <c:v>7</c:v>
                </c:pt>
                <c:pt idx="29">
                  <c:v>6</c:v>
                </c:pt>
                <c:pt idx="30">
                  <c:v>7</c:v>
                </c:pt>
                <c:pt idx="31">
                  <c:v>5</c:v>
                </c:pt>
                <c:pt idx="32">
                  <c:v>7</c:v>
                </c:pt>
                <c:pt idx="33">
                  <c:v>7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7</c:v>
                </c:pt>
                <c:pt idx="38">
                  <c:v>6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6</c:v>
                </c:pt>
                <c:pt idx="43">
                  <c:v>6</c:v>
                </c:pt>
                <c:pt idx="44">
                  <c:v>7</c:v>
                </c:pt>
                <c:pt idx="45">
                  <c:v>7</c:v>
                </c:pt>
                <c:pt idx="46">
                  <c:v>4</c:v>
                </c:pt>
                <c:pt idx="47">
                  <c:v>6</c:v>
                </c:pt>
                <c:pt idx="48">
                  <c:v>4</c:v>
                </c:pt>
                <c:pt idx="4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AA-E445-A812-2A0A6C8C7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1308320"/>
        <c:axId val="1260955440"/>
      </c:scatterChart>
      <c:valAx>
        <c:axId val="126130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955440"/>
        <c:crosses val="autoZero"/>
        <c:crossBetween val="midCat"/>
      </c:valAx>
      <c:valAx>
        <c:axId val="126095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30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336550</xdr:colOff>
      <xdr:row>10</xdr:row>
      <xdr:rowOff>114300</xdr:rowOff>
    </xdr:from>
    <xdr:to>
      <xdr:col>9</xdr:col>
      <xdr:colOff>736600</xdr:colOff>
      <xdr:row>34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6EA15C-ECBD-154B-7D53-CF82AE8C2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248C-6A56-0C40-9FC4-1111F11C9F65}">
  <dimension ref="A1:N51"/>
  <sheetViews>
    <sheetView workbookViewId="0">
      <selection activeCell="G1" sqref="G1"/>
    </sheetView>
  </sheetViews>
  <sheetFormatPr baseColWidth="10" defaultRowHeight="16" x14ac:dyDescent="0.2"/>
  <sheetData>
    <row r="1" spans="1:14" x14ac:dyDescent="0.2">
      <c r="B1" t="s">
        <v>0</v>
      </c>
      <c r="C1" t="s">
        <v>1</v>
      </c>
      <c r="F1" t="s">
        <v>2</v>
      </c>
      <c r="G1" s="1">
        <v>10970000</v>
      </c>
      <c r="J1" t="s">
        <v>3</v>
      </c>
      <c r="M1" t="s">
        <v>4</v>
      </c>
      <c r="N1" t="s">
        <v>5</v>
      </c>
    </row>
    <row r="2" spans="1:14" x14ac:dyDescent="0.2">
      <c r="A2">
        <v>0</v>
      </c>
      <c r="B2">
        <v>4</v>
      </c>
      <c r="C2">
        <v>5</v>
      </c>
      <c r="E2">
        <v>0</v>
      </c>
      <c r="F2">
        <v>-12.4146603244443</v>
      </c>
      <c r="I2">
        <v>0</v>
      </c>
      <c r="J2" s="1">
        <v>4.0514534589283901E-6</v>
      </c>
      <c r="L2">
        <v>0</v>
      </c>
      <c r="M2" s="1">
        <v>4.0586492999478703E-6</v>
      </c>
      <c r="N2">
        <f>LN(M2)</f>
        <v>-12.414660324444382</v>
      </c>
    </row>
    <row r="3" spans="1:14" x14ac:dyDescent="0.2">
      <c r="A3">
        <v>1</v>
      </c>
      <c r="B3">
        <v>4</v>
      </c>
      <c r="C3">
        <v>7</v>
      </c>
      <c r="E3">
        <v>1</v>
      </c>
      <c r="F3">
        <v>-13.045806515854601</v>
      </c>
      <c r="I3">
        <v>1</v>
      </c>
      <c r="J3" s="1">
        <v>2.1656860307726298E-6</v>
      </c>
      <c r="L3">
        <v>1</v>
      </c>
      <c r="M3" s="1">
        <v>2.1591271484994699E-6</v>
      </c>
      <c r="N3">
        <f t="shared" ref="N3:N51" si="0">LN(M3)</f>
        <v>-13.045806515854679</v>
      </c>
    </row>
    <row r="4" spans="1:14" x14ac:dyDescent="0.2">
      <c r="A4">
        <v>2</v>
      </c>
      <c r="B4">
        <v>6</v>
      </c>
      <c r="C4">
        <v>7</v>
      </c>
      <c r="E4">
        <v>2</v>
      </c>
      <c r="F4">
        <v>-11.2971643695822</v>
      </c>
      <c r="I4">
        <v>2</v>
      </c>
      <c r="J4" s="1">
        <v>1.2369399060374401E-5</v>
      </c>
      <c r="L4">
        <v>2</v>
      </c>
      <c r="M4" s="1">
        <v>1.2408059093337E-5</v>
      </c>
      <c r="N4">
        <f t="shared" si="0"/>
        <v>-11.297164369582276</v>
      </c>
    </row>
    <row r="5" spans="1:14" x14ac:dyDescent="0.2">
      <c r="A5">
        <v>3</v>
      </c>
      <c r="B5">
        <v>4</v>
      </c>
      <c r="C5">
        <v>6</v>
      </c>
      <c r="E5">
        <v>3</v>
      </c>
      <c r="F5">
        <v>-12.8453371585301</v>
      </c>
      <c r="I5">
        <v>3</v>
      </c>
      <c r="J5" s="1">
        <v>2.6253418413856E-6</v>
      </c>
      <c r="L5">
        <v>3</v>
      </c>
      <c r="M5" s="1">
        <v>2.6384019170909702E-6</v>
      </c>
      <c r="N5">
        <f t="shared" si="0"/>
        <v>-12.845337158530148</v>
      </c>
    </row>
    <row r="6" spans="1:14" x14ac:dyDescent="0.2">
      <c r="A6">
        <v>4</v>
      </c>
      <c r="B6">
        <v>6</v>
      </c>
      <c r="C6">
        <v>7</v>
      </c>
      <c r="E6">
        <v>4</v>
      </c>
      <c r="F6">
        <v>-11.296973483887101</v>
      </c>
      <c r="I6">
        <v>4</v>
      </c>
      <c r="J6" s="1">
        <v>1.2369399060374401E-5</v>
      </c>
      <c r="L6">
        <v>4</v>
      </c>
      <c r="M6" s="1">
        <v>1.24104278403947E-5</v>
      </c>
      <c r="N6">
        <f t="shared" si="0"/>
        <v>-11.296973483887172</v>
      </c>
    </row>
    <row r="7" spans="1:14" x14ac:dyDescent="0.2">
      <c r="A7">
        <v>5</v>
      </c>
      <c r="B7">
        <v>2</v>
      </c>
      <c r="C7">
        <v>3</v>
      </c>
      <c r="E7">
        <v>5</v>
      </c>
      <c r="F7">
        <v>-14.233329021091199</v>
      </c>
      <c r="I7">
        <v>5</v>
      </c>
      <c r="J7" s="1">
        <v>6.5633546034639895E-7</v>
      </c>
      <c r="L7">
        <v>5</v>
      </c>
      <c r="M7" s="1">
        <v>6.5848175629411601E-7</v>
      </c>
      <c r="N7">
        <f t="shared" si="0"/>
        <v>-14.23332902109126</v>
      </c>
    </row>
    <row r="8" spans="1:14" x14ac:dyDescent="0.2">
      <c r="A8">
        <v>6</v>
      </c>
      <c r="B8">
        <v>2</v>
      </c>
      <c r="C8">
        <v>5</v>
      </c>
      <c r="E8">
        <v>6</v>
      </c>
      <c r="F8">
        <v>-14.638697086671</v>
      </c>
      <c r="I8">
        <v>6</v>
      </c>
      <c r="J8" s="1">
        <v>4.3408429917089902E-7</v>
      </c>
      <c r="L8">
        <v>6</v>
      </c>
      <c r="M8" s="1">
        <v>4.3903044008618898E-7</v>
      </c>
      <c r="N8">
        <f t="shared" si="0"/>
        <v>-14.638697086671044</v>
      </c>
    </row>
    <row r="9" spans="1:14" x14ac:dyDescent="0.2">
      <c r="A9">
        <v>7</v>
      </c>
      <c r="B9">
        <v>2</v>
      </c>
      <c r="C9">
        <v>7</v>
      </c>
      <c r="E9">
        <v>7</v>
      </c>
      <c r="F9">
        <v>-14.7307838351058</v>
      </c>
      <c r="I9">
        <v>7</v>
      </c>
      <c r="J9" s="1">
        <v>3.97042438974982E-7</v>
      </c>
      <c r="L9">
        <v>7</v>
      </c>
      <c r="M9" s="1">
        <v>4.004071890061E-7</v>
      </c>
      <c r="N9">
        <f t="shared" si="0"/>
        <v>-14.730783835105838</v>
      </c>
    </row>
    <row r="10" spans="1:14" x14ac:dyDescent="0.2">
      <c r="A10">
        <v>8</v>
      </c>
      <c r="B10">
        <v>1</v>
      </c>
      <c r="C10">
        <v>6</v>
      </c>
      <c r="E10">
        <v>8</v>
      </c>
      <c r="F10">
        <v>-16.1879644678456</v>
      </c>
      <c r="I10">
        <v>8</v>
      </c>
      <c r="J10" s="1">
        <v>9.3762208620914196E-8</v>
      </c>
      <c r="L10">
        <v>8</v>
      </c>
      <c r="M10" s="1">
        <v>9.3251614225265206E-8</v>
      </c>
      <c r="N10">
        <f t="shared" si="0"/>
        <v>-16.18796446784561</v>
      </c>
    </row>
    <row r="11" spans="1:14" x14ac:dyDescent="0.2">
      <c r="A11">
        <v>9</v>
      </c>
      <c r="B11">
        <v>3</v>
      </c>
      <c r="C11">
        <v>5</v>
      </c>
      <c r="E11">
        <v>9</v>
      </c>
      <c r="F11">
        <v>-13.564098713505199</v>
      </c>
      <c r="I11">
        <v>9</v>
      </c>
      <c r="J11" s="1">
        <v>1.2819051959890601E-6</v>
      </c>
      <c r="L11">
        <v>9</v>
      </c>
      <c r="M11" s="1">
        <v>1.28583954118703E-6</v>
      </c>
      <c r="N11">
        <f t="shared" si="0"/>
        <v>-13.564098713505233</v>
      </c>
    </row>
    <row r="12" spans="1:14" x14ac:dyDescent="0.2">
      <c r="A12">
        <v>10</v>
      </c>
      <c r="B12">
        <v>2</v>
      </c>
      <c r="C12">
        <v>7</v>
      </c>
      <c r="E12">
        <v>10</v>
      </c>
      <c r="F12">
        <v>-14.7576231820782</v>
      </c>
      <c r="I12">
        <v>10</v>
      </c>
      <c r="J12" s="1">
        <v>3.97042438974982E-7</v>
      </c>
      <c r="L12">
        <v>10</v>
      </c>
      <c r="M12" s="1">
        <v>3.8980345668170101E-7</v>
      </c>
      <c r="N12">
        <f t="shared" si="0"/>
        <v>-14.75762318207825</v>
      </c>
    </row>
    <row r="13" spans="1:14" x14ac:dyDescent="0.2">
      <c r="A13">
        <v>11</v>
      </c>
      <c r="B13">
        <v>4</v>
      </c>
      <c r="C13">
        <v>5</v>
      </c>
      <c r="E13">
        <v>11</v>
      </c>
      <c r="F13">
        <v>-12.3919634518774</v>
      </c>
      <c r="I13">
        <v>11</v>
      </c>
      <c r="J13" s="1">
        <v>4.0514534589283901E-6</v>
      </c>
      <c r="L13">
        <v>11</v>
      </c>
      <c r="M13" s="1">
        <v>4.1518213026924801E-6</v>
      </c>
      <c r="N13">
        <f t="shared" si="0"/>
        <v>-12.391963451877443</v>
      </c>
    </row>
    <row r="14" spans="1:14" x14ac:dyDescent="0.2">
      <c r="A14">
        <v>12</v>
      </c>
      <c r="B14">
        <v>1</v>
      </c>
      <c r="C14">
        <v>2</v>
      </c>
      <c r="E14">
        <v>12</v>
      </c>
      <c r="F14">
        <v>-15.914795396399001</v>
      </c>
      <c r="I14">
        <v>12</v>
      </c>
      <c r="J14" s="1">
        <v>1.21543603767852E-7</v>
      </c>
      <c r="L14">
        <v>12</v>
      </c>
      <c r="M14" s="1">
        <v>1.22544035706893E-7</v>
      </c>
      <c r="N14">
        <f t="shared" si="0"/>
        <v>-15.914795396399034</v>
      </c>
    </row>
    <row r="15" spans="1:14" x14ac:dyDescent="0.2">
      <c r="A15">
        <v>13</v>
      </c>
      <c r="B15">
        <v>3</v>
      </c>
      <c r="C15">
        <v>6</v>
      </c>
      <c r="E15">
        <v>13</v>
      </c>
      <c r="F15">
        <v>-13.733661170689199</v>
      </c>
      <c r="I15">
        <v>13</v>
      </c>
      <c r="J15" s="1">
        <v>1.0938924339106701E-6</v>
      </c>
      <c r="L15">
        <v>13</v>
      </c>
      <c r="M15" s="1">
        <v>1.08529233868288E-6</v>
      </c>
      <c r="N15">
        <f t="shared" si="0"/>
        <v>-13.733661170689283</v>
      </c>
    </row>
    <row r="16" spans="1:14" x14ac:dyDescent="0.2">
      <c r="A16">
        <v>14</v>
      </c>
      <c r="B16">
        <v>4</v>
      </c>
      <c r="C16">
        <v>5</v>
      </c>
      <c r="E16">
        <v>14</v>
      </c>
      <c r="F16">
        <v>-12.406486893702001</v>
      </c>
      <c r="I16">
        <v>14</v>
      </c>
      <c r="J16" s="1">
        <v>4.0514534589283901E-6</v>
      </c>
      <c r="L16">
        <v>14</v>
      </c>
      <c r="M16" s="1">
        <v>4.09195832799127E-6</v>
      </c>
      <c r="N16">
        <f t="shared" si="0"/>
        <v>-12.406486893702098</v>
      </c>
    </row>
    <row r="17" spans="1:14" x14ac:dyDescent="0.2">
      <c r="A17">
        <v>15</v>
      </c>
      <c r="B17">
        <v>5</v>
      </c>
      <c r="C17">
        <v>6</v>
      </c>
      <c r="E17">
        <v>15</v>
      </c>
      <c r="F17">
        <v>-11.806338075598701</v>
      </c>
      <c r="I17">
        <v>15</v>
      </c>
      <c r="J17" s="1">
        <v>7.4583575039363502E-6</v>
      </c>
      <c r="L17">
        <v>15</v>
      </c>
      <c r="M17" s="1">
        <v>7.4571438752835597E-6</v>
      </c>
      <c r="N17">
        <f t="shared" si="0"/>
        <v>-11.806338075598726</v>
      </c>
    </row>
    <row r="18" spans="1:14" x14ac:dyDescent="0.2">
      <c r="A18">
        <v>16</v>
      </c>
      <c r="B18">
        <v>1</v>
      </c>
      <c r="C18">
        <v>2</v>
      </c>
      <c r="E18">
        <v>16</v>
      </c>
      <c r="F18">
        <v>-15.938326926231101</v>
      </c>
      <c r="I18">
        <v>16</v>
      </c>
      <c r="J18" s="1">
        <v>1.21543603767852E-7</v>
      </c>
      <c r="L18">
        <v>16</v>
      </c>
      <c r="M18" s="1">
        <v>1.1969405083656199E-7</v>
      </c>
      <c r="N18">
        <f t="shared" si="0"/>
        <v>-15.938326926231117</v>
      </c>
    </row>
    <row r="19" spans="1:14" x14ac:dyDescent="0.2">
      <c r="A19">
        <v>17</v>
      </c>
      <c r="B19">
        <v>4</v>
      </c>
      <c r="C19">
        <v>6</v>
      </c>
      <c r="E19">
        <v>17</v>
      </c>
      <c r="F19">
        <v>-12.8431754968357</v>
      </c>
      <c r="I19">
        <v>17</v>
      </c>
      <c r="J19" s="1">
        <v>2.6253418413856E-6</v>
      </c>
      <c r="L19">
        <v>17</v>
      </c>
      <c r="M19" s="1">
        <v>2.64411141823122E-6</v>
      </c>
      <c r="N19">
        <f t="shared" si="0"/>
        <v>-12.843175496835764</v>
      </c>
    </row>
    <row r="20" spans="1:14" x14ac:dyDescent="0.2">
      <c r="A20">
        <v>18</v>
      </c>
      <c r="B20">
        <v>6</v>
      </c>
      <c r="C20">
        <v>7</v>
      </c>
      <c r="E20">
        <v>18</v>
      </c>
      <c r="F20">
        <v>-11.317001906977699</v>
      </c>
      <c r="I20">
        <v>18</v>
      </c>
      <c r="J20" s="1">
        <v>1.2369399060374401E-5</v>
      </c>
      <c r="L20">
        <v>18</v>
      </c>
      <c r="M20" s="1">
        <v>1.2164339151296899E-5</v>
      </c>
      <c r="N20">
        <f t="shared" si="0"/>
        <v>-11.317001906977753</v>
      </c>
    </row>
    <row r="21" spans="1:14" x14ac:dyDescent="0.2">
      <c r="A21">
        <v>19</v>
      </c>
      <c r="B21">
        <v>2</v>
      </c>
      <c r="C21">
        <v>3</v>
      </c>
      <c r="E21">
        <v>19</v>
      </c>
      <c r="F21">
        <v>-14.238115734266399</v>
      </c>
      <c r="I21">
        <v>19</v>
      </c>
      <c r="J21" s="1">
        <v>6.5633546034639895E-7</v>
      </c>
      <c r="L21">
        <v>19</v>
      </c>
      <c r="M21" s="1">
        <v>6.5533732474553698E-7</v>
      </c>
      <c r="N21">
        <f t="shared" si="0"/>
        <v>-14.23811573426644</v>
      </c>
    </row>
    <row r="22" spans="1:14" x14ac:dyDescent="0.2">
      <c r="A22">
        <v>20</v>
      </c>
      <c r="B22">
        <v>1</v>
      </c>
      <c r="C22">
        <v>2</v>
      </c>
      <c r="E22">
        <v>20</v>
      </c>
      <c r="F22">
        <v>-15.9228254177425</v>
      </c>
      <c r="I22">
        <v>20</v>
      </c>
      <c r="J22" s="1">
        <v>1.21543603767852E-7</v>
      </c>
      <c r="L22">
        <v>20</v>
      </c>
      <c r="M22" s="1">
        <v>1.21563944826442E-7</v>
      </c>
      <c r="N22">
        <f t="shared" si="0"/>
        <v>-15.922825417742544</v>
      </c>
    </row>
    <row r="23" spans="1:14" x14ac:dyDescent="0.2">
      <c r="A23">
        <v>21</v>
      </c>
      <c r="B23">
        <v>1</v>
      </c>
      <c r="C23">
        <v>3</v>
      </c>
      <c r="E23">
        <v>21</v>
      </c>
      <c r="F23">
        <v>-16.093036830276102</v>
      </c>
      <c r="I23">
        <v>21</v>
      </c>
      <c r="J23" s="1">
        <v>1.02552415679125E-7</v>
      </c>
      <c r="L23">
        <v>21</v>
      </c>
      <c r="M23" s="1">
        <v>1.02537543203299E-7</v>
      </c>
      <c r="N23">
        <f t="shared" si="0"/>
        <v>-16.09303683027618</v>
      </c>
    </row>
    <row r="24" spans="1:14" x14ac:dyDescent="0.2">
      <c r="A24">
        <v>22</v>
      </c>
      <c r="B24">
        <v>1</v>
      </c>
      <c r="C24">
        <v>7</v>
      </c>
      <c r="E24">
        <v>22</v>
      </c>
      <c r="F24">
        <v>-16.200560165897802</v>
      </c>
      <c r="I24">
        <v>22</v>
      </c>
      <c r="J24" s="1">
        <v>9.3056821634761498E-8</v>
      </c>
      <c r="L24">
        <v>22</v>
      </c>
      <c r="M24" s="1">
        <v>9.2084411348614503E-8</v>
      </c>
      <c r="N24">
        <f t="shared" si="0"/>
        <v>-16.200560165897805</v>
      </c>
    </row>
    <row r="25" spans="1:14" x14ac:dyDescent="0.2">
      <c r="A25">
        <v>23</v>
      </c>
      <c r="B25">
        <v>4</v>
      </c>
      <c r="C25">
        <v>6</v>
      </c>
      <c r="E25">
        <v>23</v>
      </c>
      <c r="F25">
        <v>-12.8425746178306</v>
      </c>
      <c r="I25">
        <v>23</v>
      </c>
      <c r="J25" s="1">
        <v>2.6253418413856E-6</v>
      </c>
      <c r="L25">
        <v>23</v>
      </c>
      <c r="M25" s="1">
        <v>2.6457006867008699E-6</v>
      </c>
      <c r="N25">
        <f t="shared" si="0"/>
        <v>-12.842574617830634</v>
      </c>
    </row>
    <row r="26" spans="1:14" x14ac:dyDescent="0.2">
      <c r="A26">
        <v>24</v>
      </c>
      <c r="B26">
        <v>3</v>
      </c>
      <c r="C26">
        <v>4</v>
      </c>
      <c r="E26">
        <v>24</v>
      </c>
      <c r="F26">
        <v>-13.2044465404342</v>
      </c>
      <c r="I26">
        <v>24</v>
      </c>
      <c r="J26" s="1">
        <v>1.8752441724182799E-6</v>
      </c>
      <c r="L26">
        <v>24</v>
      </c>
      <c r="M26" s="1">
        <v>1.8423906922292601E-6</v>
      </c>
      <c r="N26">
        <f t="shared" si="0"/>
        <v>-13.20444654043421</v>
      </c>
    </row>
    <row r="27" spans="1:14" x14ac:dyDescent="0.2">
      <c r="A27">
        <v>25</v>
      </c>
      <c r="B27">
        <v>5</v>
      </c>
      <c r="C27">
        <v>7</v>
      </c>
      <c r="E27">
        <v>25</v>
      </c>
      <c r="F27">
        <v>-12.2777528253149</v>
      </c>
      <c r="I27">
        <v>25</v>
      </c>
      <c r="J27" s="1">
        <v>4.6528410817380698E-6</v>
      </c>
      <c r="L27">
        <v>25</v>
      </c>
      <c r="M27" s="1">
        <v>4.65414272998656E-6</v>
      </c>
      <c r="N27">
        <f t="shared" si="0"/>
        <v>-12.27775282531495</v>
      </c>
    </row>
    <row r="28" spans="1:14" x14ac:dyDescent="0.2">
      <c r="A28">
        <v>26</v>
      </c>
      <c r="B28">
        <v>3</v>
      </c>
      <c r="C28">
        <v>5</v>
      </c>
      <c r="E28">
        <v>26</v>
      </c>
      <c r="F28">
        <v>-13.5634668932639</v>
      </c>
      <c r="I28">
        <v>26</v>
      </c>
      <c r="J28" s="1">
        <v>1.2819051959890601E-6</v>
      </c>
      <c r="L28">
        <v>26</v>
      </c>
      <c r="M28" s="1">
        <v>1.28665221734178E-6</v>
      </c>
      <c r="N28">
        <f t="shared" si="0"/>
        <v>-13.56346689326395</v>
      </c>
    </row>
    <row r="29" spans="1:14" x14ac:dyDescent="0.2">
      <c r="A29">
        <v>27</v>
      </c>
      <c r="B29">
        <v>6</v>
      </c>
      <c r="C29">
        <v>7</v>
      </c>
      <c r="E29">
        <v>27</v>
      </c>
      <c r="F29">
        <v>-11.2970892328473</v>
      </c>
      <c r="I29">
        <v>27</v>
      </c>
      <c r="J29" s="1">
        <v>1.2369399060374401E-5</v>
      </c>
      <c r="L29">
        <v>27</v>
      </c>
      <c r="M29" s="1">
        <v>1.240899142941E-5</v>
      </c>
      <c r="N29">
        <f t="shared" si="0"/>
        <v>-11.297089232847346</v>
      </c>
    </row>
    <row r="30" spans="1:14" x14ac:dyDescent="0.2">
      <c r="A30">
        <v>28</v>
      </c>
      <c r="B30">
        <v>4</v>
      </c>
      <c r="C30">
        <v>7</v>
      </c>
      <c r="E30">
        <v>28</v>
      </c>
      <c r="F30">
        <v>-13.034497990379499</v>
      </c>
      <c r="I30">
        <v>28</v>
      </c>
      <c r="J30" s="1">
        <v>2.1656860307726298E-6</v>
      </c>
      <c r="L30">
        <v>28</v>
      </c>
      <c r="M30" s="1">
        <v>2.18368227230301E-6</v>
      </c>
      <c r="N30">
        <f t="shared" si="0"/>
        <v>-13.034497990379554</v>
      </c>
    </row>
    <row r="31" spans="1:14" x14ac:dyDescent="0.2">
      <c r="A31">
        <v>29</v>
      </c>
      <c r="B31">
        <v>4</v>
      </c>
      <c r="C31">
        <v>6</v>
      </c>
      <c r="E31">
        <v>29</v>
      </c>
      <c r="F31">
        <v>-12.8580558325848</v>
      </c>
      <c r="I31">
        <v>29</v>
      </c>
      <c r="J31" s="1">
        <v>2.6253418413856E-6</v>
      </c>
      <c r="L31">
        <v>29</v>
      </c>
      <c r="M31" s="1">
        <v>2.6050574413367502E-6</v>
      </c>
      <c r="N31">
        <f t="shared" si="0"/>
        <v>-12.858055832584872</v>
      </c>
    </row>
    <row r="32" spans="1:14" x14ac:dyDescent="0.2">
      <c r="A32">
        <v>30</v>
      </c>
      <c r="B32">
        <v>2</v>
      </c>
      <c r="C32">
        <v>7</v>
      </c>
      <c r="E32">
        <v>30</v>
      </c>
      <c r="F32">
        <v>-14.7438195357891</v>
      </c>
      <c r="I32">
        <v>30</v>
      </c>
      <c r="J32" s="1">
        <v>3.97042438974982E-7</v>
      </c>
      <c r="L32">
        <v>30</v>
      </c>
      <c r="M32" s="1">
        <v>3.9522147388744998E-7</v>
      </c>
      <c r="N32">
        <f t="shared" si="0"/>
        <v>-14.743819535789145</v>
      </c>
    </row>
    <row r="33" spans="1:14" x14ac:dyDescent="0.2">
      <c r="A33">
        <v>31</v>
      </c>
      <c r="B33">
        <v>4</v>
      </c>
      <c r="C33">
        <v>5</v>
      </c>
      <c r="E33">
        <v>31</v>
      </c>
      <c r="F33">
        <v>-12.4197598837768</v>
      </c>
      <c r="I33">
        <v>31</v>
      </c>
      <c r="J33" s="1">
        <v>4.0514534589283901E-6</v>
      </c>
      <c r="L33">
        <v>31</v>
      </c>
      <c r="M33" s="1">
        <v>4.0380046610531098E-6</v>
      </c>
      <c r="N33">
        <f t="shared" si="0"/>
        <v>-12.419759883776843</v>
      </c>
    </row>
    <row r="34" spans="1:14" x14ac:dyDescent="0.2">
      <c r="A34">
        <v>32</v>
      </c>
      <c r="B34">
        <v>6</v>
      </c>
      <c r="C34">
        <v>7</v>
      </c>
      <c r="E34">
        <v>32</v>
      </c>
      <c r="F34">
        <v>-11.306686067052601</v>
      </c>
      <c r="I34">
        <v>32</v>
      </c>
      <c r="J34" s="1">
        <v>1.2369399060374401E-5</v>
      </c>
      <c r="L34">
        <v>32</v>
      </c>
      <c r="M34" s="1">
        <v>1.22904740016708E-5</v>
      </c>
      <c r="N34">
        <f t="shared" si="0"/>
        <v>-11.306686067052697</v>
      </c>
    </row>
    <row r="35" spans="1:14" x14ac:dyDescent="0.2">
      <c r="A35">
        <v>33</v>
      </c>
      <c r="B35">
        <v>1</v>
      </c>
      <c r="C35">
        <v>7</v>
      </c>
      <c r="E35">
        <v>33</v>
      </c>
      <c r="F35">
        <v>-16.1779769176289</v>
      </c>
      <c r="I35">
        <v>33</v>
      </c>
      <c r="J35" s="1">
        <v>9.3056821634761498E-8</v>
      </c>
      <c r="L35">
        <v>33</v>
      </c>
      <c r="M35" s="1">
        <v>9.41876359061391E-8</v>
      </c>
      <c r="N35">
        <f t="shared" si="0"/>
        <v>-16.177976917628936</v>
      </c>
    </row>
    <row r="36" spans="1:14" x14ac:dyDescent="0.2">
      <c r="A36">
        <v>34</v>
      </c>
      <c r="B36">
        <v>2</v>
      </c>
      <c r="C36">
        <v>6</v>
      </c>
      <c r="E36">
        <v>34</v>
      </c>
      <c r="F36">
        <v>-14.7011354020654</v>
      </c>
      <c r="I36">
        <v>34</v>
      </c>
      <c r="J36" s="1">
        <v>4.1020966271649999E-7</v>
      </c>
      <c r="L36">
        <v>34</v>
      </c>
      <c r="M36" s="1">
        <v>4.12456371813669E-7</v>
      </c>
      <c r="N36">
        <f t="shared" si="0"/>
        <v>-14.701135402065416</v>
      </c>
    </row>
    <row r="37" spans="1:14" x14ac:dyDescent="0.2">
      <c r="A37">
        <v>35</v>
      </c>
      <c r="B37">
        <v>5</v>
      </c>
      <c r="C37">
        <v>6</v>
      </c>
      <c r="E37">
        <v>35</v>
      </c>
      <c r="F37">
        <v>-11.816832494792299</v>
      </c>
      <c r="I37">
        <v>35</v>
      </c>
      <c r="J37" s="1">
        <v>7.4583575039363502E-6</v>
      </c>
      <c r="L37">
        <v>35</v>
      </c>
      <c r="M37" s="1">
        <v>7.37929468695535E-6</v>
      </c>
      <c r="N37">
        <f t="shared" si="0"/>
        <v>-11.816832494792338</v>
      </c>
    </row>
    <row r="38" spans="1:14" x14ac:dyDescent="0.2">
      <c r="A38">
        <v>36</v>
      </c>
      <c r="B38">
        <v>4</v>
      </c>
      <c r="C38">
        <v>6</v>
      </c>
      <c r="E38">
        <v>36</v>
      </c>
      <c r="F38">
        <v>-12.8656239566322</v>
      </c>
      <c r="I38">
        <v>36</v>
      </c>
      <c r="J38" s="1">
        <v>2.6253418413856E-6</v>
      </c>
      <c r="L38">
        <v>36</v>
      </c>
      <c r="M38" s="1">
        <v>2.5854164599092801E-6</v>
      </c>
      <c r="N38">
        <f t="shared" si="0"/>
        <v>-12.865623956632232</v>
      </c>
    </row>
    <row r="39" spans="1:14" x14ac:dyDescent="0.2">
      <c r="A39">
        <v>37</v>
      </c>
      <c r="B39">
        <v>3</v>
      </c>
      <c r="C39">
        <v>7</v>
      </c>
      <c r="E39">
        <v>37</v>
      </c>
      <c r="F39">
        <v>-13.7879063787272</v>
      </c>
      <c r="I39">
        <v>37</v>
      </c>
      <c r="J39" s="1">
        <v>1.00501367365542E-6</v>
      </c>
      <c r="L39">
        <v>37</v>
      </c>
      <c r="M39" s="1">
        <v>1.0279887046078599E-6</v>
      </c>
      <c r="N39">
        <f t="shared" si="0"/>
        <v>-13.787906378727211</v>
      </c>
    </row>
    <row r="40" spans="1:14" x14ac:dyDescent="0.2">
      <c r="A40">
        <v>38</v>
      </c>
      <c r="B40">
        <v>1</v>
      </c>
      <c r="C40">
        <v>6</v>
      </c>
      <c r="E40">
        <v>38</v>
      </c>
      <c r="F40">
        <v>-16.1657012006808</v>
      </c>
      <c r="I40">
        <v>38</v>
      </c>
      <c r="J40" s="1">
        <v>9.3762208620914196E-8</v>
      </c>
      <c r="L40">
        <v>38</v>
      </c>
      <c r="M40" s="1">
        <v>9.5350982512359502E-8</v>
      </c>
      <c r="N40">
        <f t="shared" si="0"/>
        <v>-16.165701200680818</v>
      </c>
    </row>
    <row r="41" spans="1:14" x14ac:dyDescent="0.2">
      <c r="A41">
        <v>39</v>
      </c>
      <c r="B41">
        <v>6</v>
      </c>
      <c r="C41">
        <v>7</v>
      </c>
      <c r="E41">
        <v>39</v>
      </c>
      <c r="F41">
        <v>-11.2847271143208</v>
      </c>
      <c r="I41">
        <v>39</v>
      </c>
      <c r="J41" s="1">
        <v>1.2369399060374401E-5</v>
      </c>
      <c r="L41">
        <v>39</v>
      </c>
      <c r="M41" s="1">
        <v>1.2563344954830699E-5</v>
      </c>
      <c r="N41">
        <f t="shared" si="0"/>
        <v>-11.284727114320813</v>
      </c>
    </row>
    <row r="42" spans="1:14" x14ac:dyDescent="0.2">
      <c r="A42">
        <v>40</v>
      </c>
      <c r="B42">
        <v>6</v>
      </c>
      <c r="C42">
        <v>7</v>
      </c>
      <c r="E42">
        <v>40</v>
      </c>
      <c r="F42">
        <v>-11.303389133485799</v>
      </c>
      <c r="I42">
        <v>40</v>
      </c>
      <c r="J42" s="1">
        <v>1.2369399060374401E-5</v>
      </c>
      <c r="L42">
        <v>40</v>
      </c>
      <c r="M42" s="1">
        <v>1.2331061748747501E-5</v>
      </c>
      <c r="N42">
        <f t="shared" si="0"/>
        <v>-11.303389133485831</v>
      </c>
    </row>
    <row r="43" spans="1:14" x14ac:dyDescent="0.2">
      <c r="A43">
        <v>41</v>
      </c>
      <c r="B43">
        <v>4</v>
      </c>
      <c r="C43">
        <v>7</v>
      </c>
      <c r="E43">
        <v>41</v>
      </c>
      <c r="F43">
        <v>-13.051135360811999</v>
      </c>
      <c r="I43">
        <v>41</v>
      </c>
      <c r="J43" s="1">
        <v>2.1656860307726298E-6</v>
      </c>
      <c r="L43">
        <v>41</v>
      </c>
      <c r="M43" s="1">
        <v>2.1476520962234499E-6</v>
      </c>
      <c r="N43">
        <f t="shared" si="0"/>
        <v>-13.051135360812046</v>
      </c>
    </row>
    <row r="44" spans="1:14" x14ac:dyDescent="0.2">
      <c r="A44">
        <v>42</v>
      </c>
      <c r="B44">
        <v>3</v>
      </c>
      <c r="C44">
        <v>6</v>
      </c>
      <c r="E44">
        <v>42</v>
      </c>
      <c r="F44">
        <v>-13.7228698908808</v>
      </c>
      <c r="I44">
        <v>42</v>
      </c>
      <c r="J44" s="1">
        <v>1.0938924339106701E-6</v>
      </c>
      <c r="L44">
        <v>42</v>
      </c>
      <c r="M44" s="1">
        <v>1.0970674519856899E-6</v>
      </c>
      <c r="N44">
        <f t="shared" si="0"/>
        <v>-13.722869890880805</v>
      </c>
    </row>
    <row r="45" spans="1:14" x14ac:dyDescent="0.2">
      <c r="A45">
        <v>43</v>
      </c>
      <c r="B45">
        <v>5</v>
      </c>
      <c r="C45">
        <v>6</v>
      </c>
      <c r="E45">
        <v>43</v>
      </c>
      <c r="F45">
        <v>-11.817588434826501</v>
      </c>
      <c r="I45">
        <v>43</v>
      </c>
      <c r="J45" s="1">
        <v>7.4583575039363502E-6</v>
      </c>
      <c r="L45">
        <v>43</v>
      </c>
      <c r="M45" s="1">
        <v>7.3737184905780104E-6</v>
      </c>
      <c r="N45">
        <f t="shared" si="0"/>
        <v>-11.817588434826524</v>
      </c>
    </row>
    <row r="46" spans="1:14" x14ac:dyDescent="0.2">
      <c r="A46">
        <v>44</v>
      </c>
      <c r="B46">
        <v>3</v>
      </c>
      <c r="C46">
        <v>7</v>
      </c>
      <c r="E46">
        <v>44</v>
      </c>
      <c r="F46">
        <v>-13.8099474618435</v>
      </c>
      <c r="I46">
        <v>44</v>
      </c>
      <c r="J46" s="1">
        <v>1.00501367365542E-6</v>
      </c>
      <c r="L46">
        <v>44</v>
      </c>
      <c r="M46" s="1">
        <v>1.0055785988743401E-6</v>
      </c>
      <c r="N46">
        <f t="shared" si="0"/>
        <v>-13.809947461843596</v>
      </c>
    </row>
    <row r="47" spans="1:14" x14ac:dyDescent="0.2">
      <c r="A47">
        <v>45</v>
      </c>
      <c r="B47">
        <v>4</v>
      </c>
      <c r="C47">
        <v>7</v>
      </c>
      <c r="E47">
        <v>45</v>
      </c>
      <c r="F47">
        <v>-13.0419904011051</v>
      </c>
      <c r="I47">
        <v>45</v>
      </c>
      <c r="J47" s="1">
        <v>2.1656860307726298E-6</v>
      </c>
      <c r="L47">
        <v>45</v>
      </c>
      <c r="M47" s="1">
        <v>2.1673823668690401E-6</v>
      </c>
      <c r="N47">
        <f t="shared" si="0"/>
        <v>-13.041990401105153</v>
      </c>
    </row>
    <row r="48" spans="1:14" x14ac:dyDescent="0.2">
      <c r="A48">
        <v>46</v>
      </c>
      <c r="B48">
        <v>1</v>
      </c>
      <c r="C48">
        <v>4</v>
      </c>
      <c r="E48">
        <v>46</v>
      </c>
      <c r="F48">
        <v>-16.144513181818901</v>
      </c>
      <c r="I48">
        <v>46</v>
      </c>
      <c r="J48" s="1">
        <v>9.7234883014281395E-8</v>
      </c>
      <c r="L48">
        <v>46</v>
      </c>
      <c r="M48" s="1">
        <v>9.7392835955735095E-8</v>
      </c>
      <c r="N48">
        <f t="shared" si="0"/>
        <v>-16.144513181818922</v>
      </c>
    </row>
    <row r="49" spans="1:14" x14ac:dyDescent="0.2">
      <c r="A49">
        <v>47</v>
      </c>
      <c r="B49">
        <v>4</v>
      </c>
      <c r="C49">
        <v>6</v>
      </c>
      <c r="E49">
        <v>47</v>
      </c>
      <c r="F49">
        <v>-12.856584862473699</v>
      </c>
      <c r="I49">
        <v>47</v>
      </c>
      <c r="J49" s="1">
        <v>2.6253418413856E-6</v>
      </c>
      <c r="L49">
        <v>47</v>
      </c>
      <c r="M49" s="1">
        <v>2.6088922227036299E-6</v>
      </c>
      <c r="N49">
        <f t="shared" si="0"/>
        <v>-12.856584862473754</v>
      </c>
    </row>
    <row r="50" spans="1:14" x14ac:dyDescent="0.2">
      <c r="A50">
        <v>48</v>
      </c>
      <c r="B50">
        <v>1</v>
      </c>
      <c r="C50">
        <v>4</v>
      </c>
      <c r="E50">
        <v>48</v>
      </c>
      <c r="F50">
        <v>-16.1385331314297</v>
      </c>
      <c r="I50">
        <v>48</v>
      </c>
      <c r="J50" s="1">
        <v>9.7234883014281395E-8</v>
      </c>
      <c r="L50">
        <v>48</v>
      </c>
      <c r="M50" s="1">
        <v>9.7976994931511404E-8</v>
      </c>
      <c r="N50">
        <f t="shared" si="0"/>
        <v>-16.138533131429721</v>
      </c>
    </row>
    <row r="51" spans="1:14" x14ac:dyDescent="0.2">
      <c r="A51">
        <v>49</v>
      </c>
      <c r="B51">
        <v>1</v>
      </c>
      <c r="C51">
        <v>2</v>
      </c>
      <c r="E51">
        <v>49</v>
      </c>
      <c r="F51">
        <v>-15.9170749528973</v>
      </c>
      <c r="I51">
        <v>49</v>
      </c>
      <c r="J51" s="1">
        <v>1.21543603767852E-7</v>
      </c>
      <c r="L51">
        <v>49</v>
      </c>
      <c r="M51" s="1">
        <v>1.2226500780473301E-7</v>
      </c>
      <c r="N51">
        <f t="shared" si="0"/>
        <v>-15.917074952897318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1896-3C51-C146-B19B-CA50E11F3A3E}">
  <dimension ref="A1:K31"/>
  <sheetViews>
    <sheetView workbookViewId="0">
      <selection activeCell="H2" sqref="H2"/>
    </sheetView>
  </sheetViews>
  <sheetFormatPr baseColWidth="10" defaultRowHeight="16" x14ac:dyDescent="0.2"/>
  <cols>
    <col min="11" max="11" width="12.1640625" bestFit="1" customWidth="1"/>
  </cols>
  <sheetData>
    <row r="1" spans="1:11" x14ac:dyDescent="0.2">
      <c r="B1" t="s">
        <v>6</v>
      </c>
      <c r="C1" t="s">
        <v>7</v>
      </c>
      <c r="D1" t="s">
        <v>8</v>
      </c>
      <c r="E1" t="s">
        <v>2</v>
      </c>
      <c r="H1" t="s">
        <v>9</v>
      </c>
    </row>
    <row r="2" spans="1:11" x14ac:dyDescent="0.2">
      <c r="A2">
        <v>0</v>
      </c>
      <c r="B2">
        <v>26.860298512589001</v>
      </c>
      <c r="C2">
        <v>333.30802456223103</v>
      </c>
      <c r="D2">
        <v>53.2552044505805</v>
      </c>
      <c r="E2">
        <v>1298.5680813158201</v>
      </c>
      <c r="G2">
        <v>0</v>
      </c>
      <c r="H2">
        <v>1397.66975852209</v>
      </c>
      <c r="J2">
        <f>B2*8.314*C2/D2</f>
        <v>1397.6697585220866</v>
      </c>
      <c r="K2">
        <f>ABS(H2-J2)</f>
        <v>3.4106051316484809E-12</v>
      </c>
    </row>
    <row r="3" spans="1:11" x14ac:dyDescent="0.2">
      <c r="A3">
        <v>1</v>
      </c>
      <c r="B3">
        <v>54.780395976583002</v>
      </c>
      <c r="C3">
        <v>361.11234767009699</v>
      </c>
      <c r="D3">
        <v>88.436615779542606</v>
      </c>
      <c r="E3">
        <v>1966.3287952549399</v>
      </c>
      <c r="G3">
        <v>1</v>
      </c>
      <c r="H3">
        <v>1859.7107909690101</v>
      </c>
      <c r="J3">
        <f t="shared" ref="J3:J31" si="0">B3*8.314*C3/D3</f>
        <v>1859.710790969008</v>
      </c>
      <c r="K3">
        <f t="shared" ref="K3:K31" si="1">ABS(H3-J3)</f>
        <v>2.0463630789890885E-12</v>
      </c>
    </row>
    <row r="4" spans="1:11" x14ac:dyDescent="0.2">
      <c r="A4">
        <v>2</v>
      </c>
      <c r="B4">
        <v>18.091793634253499</v>
      </c>
      <c r="C4">
        <v>369.31948104664599</v>
      </c>
      <c r="D4">
        <v>3.9092459025314699</v>
      </c>
      <c r="E4">
        <v>12332.772582514601</v>
      </c>
      <c r="G4">
        <v>2</v>
      </c>
      <c r="H4">
        <v>14210.222316851499</v>
      </c>
      <c r="J4">
        <f t="shared" si="0"/>
        <v>14210.222316851417</v>
      </c>
      <c r="K4">
        <f t="shared" si="1"/>
        <v>8.1854523159563541E-11</v>
      </c>
    </row>
    <row r="5" spans="1:11" x14ac:dyDescent="0.2">
      <c r="A5">
        <v>3</v>
      </c>
      <c r="B5">
        <v>20.409633029386701</v>
      </c>
      <c r="C5">
        <v>369.127887340624</v>
      </c>
      <c r="D5">
        <v>49.711567828965499</v>
      </c>
      <c r="E5">
        <v>1113.82128417186</v>
      </c>
      <c r="G5">
        <v>3</v>
      </c>
      <c r="H5">
        <v>1259.98278932465</v>
      </c>
      <c r="J5">
        <f t="shared" si="0"/>
        <v>1259.982789324649</v>
      </c>
      <c r="K5">
        <f t="shared" si="1"/>
        <v>9.0949470177292824E-13</v>
      </c>
    </row>
    <row r="6" spans="1:11" x14ac:dyDescent="0.2">
      <c r="A6">
        <v>4</v>
      </c>
      <c r="B6">
        <v>42.240452369183402</v>
      </c>
      <c r="C6">
        <v>390.69260181917502</v>
      </c>
      <c r="D6">
        <v>20.320926818475701</v>
      </c>
      <c r="E6">
        <v>6040.2557768075803</v>
      </c>
      <c r="G6">
        <v>4</v>
      </c>
      <c r="H6">
        <v>6751.9661506338798</v>
      </c>
      <c r="J6">
        <f t="shared" si="0"/>
        <v>6751.9661506338743</v>
      </c>
      <c r="K6">
        <f t="shared" si="1"/>
        <v>5.4569682106375694E-12</v>
      </c>
    </row>
    <row r="7" spans="1:11" x14ac:dyDescent="0.2">
      <c r="A7">
        <v>5</v>
      </c>
      <c r="B7">
        <v>1.5325679234501399</v>
      </c>
      <c r="C7">
        <v>324.938408268253</v>
      </c>
      <c r="D7">
        <v>94.239957642171703</v>
      </c>
      <c r="E7">
        <v>42.6593087593645</v>
      </c>
      <c r="G7">
        <v>5</v>
      </c>
      <c r="H7">
        <v>43.9334914136614</v>
      </c>
      <c r="J7">
        <f t="shared" si="0"/>
        <v>43.933491413661223</v>
      </c>
      <c r="K7">
        <f t="shared" si="1"/>
        <v>1.7763568394002505E-13</v>
      </c>
    </row>
    <row r="8" spans="1:11" x14ac:dyDescent="0.2">
      <c r="A8">
        <v>6</v>
      </c>
      <c r="B8">
        <v>37.701015000577598</v>
      </c>
      <c r="C8">
        <v>384.42980286843198</v>
      </c>
      <c r="D8">
        <v>67.3767476655877</v>
      </c>
      <c r="E8">
        <v>1668.9739700084399</v>
      </c>
      <c r="G8">
        <v>6</v>
      </c>
      <c r="H8">
        <v>1788.4222663440701</v>
      </c>
      <c r="J8">
        <f t="shared" si="0"/>
        <v>1788.4222663440698</v>
      </c>
      <c r="K8">
        <f t="shared" si="1"/>
        <v>2.2737367544323206E-13</v>
      </c>
    </row>
    <row r="9" spans="1:11" x14ac:dyDescent="0.2">
      <c r="A9">
        <v>7</v>
      </c>
      <c r="B9">
        <v>56.285506352571602</v>
      </c>
      <c r="C9">
        <v>390.62030779317598</v>
      </c>
      <c r="D9">
        <v>39.0800536190212</v>
      </c>
      <c r="E9">
        <v>5440.8292812948903</v>
      </c>
      <c r="G9">
        <v>7</v>
      </c>
      <c r="H9">
        <v>4677.4188827382104</v>
      </c>
      <c r="J9">
        <f t="shared" si="0"/>
        <v>4677.4188827382095</v>
      </c>
      <c r="K9">
        <f t="shared" si="1"/>
        <v>9.0949470177292824E-13</v>
      </c>
    </row>
    <row r="10" spans="1:11" x14ac:dyDescent="0.2">
      <c r="A10">
        <v>8</v>
      </c>
      <c r="B10">
        <v>8.4824141277343195</v>
      </c>
      <c r="C10">
        <v>324.04055678694999</v>
      </c>
      <c r="D10">
        <v>97.5209725418445</v>
      </c>
      <c r="E10">
        <v>251.91420533356501</v>
      </c>
      <c r="G10">
        <v>8</v>
      </c>
      <c r="H10">
        <v>234.33158924654001</v>
      </c>
      <c r="J10">
        <f t="shared" si="0"/>
        <v>234.33158924653978</v>
      </c>
      <c r="K10">
        <f t="shared" si="1"/>
        <v>2.2737367544323206E-13</v>
      </c>
    </row>
    <row r="11" spans="1:11" x14ac:dyDescent="0.2">
      <c r="A11">
        <v>9</v>
      </c>
      <c r="B11">
        <v>92.5712992029719</v>
      </c>
      <c r="C11">
        <v>317.60951008982801</v>
      </c>
      <c r="D11">
        <v>3.7762315933041299</v>
      </c>
      <c r="E11">
        <v>53868.575239219303</v>
      </c>
      <c r="G11">
        <v>9</v>
      </c>
      <c r="H11">
        <v>64732.332409279101</v>
      </c>
      <c r="J11">
        <f t="shared" si="0"/>
        <v>64732.332409278963</v>
      </c>
      <c r="K11">
        <f t="shared" si="1"/>
        <v>1.3824319466948509E-10</v>
      </c>
    </row>
    <row r="12" spans="1:11" x14ac:dyDescent="0.2">
      <c r="A12">
        <v>10</v>
      </c>
      <c r="B12">
        <v>85.028936305998499</v>
      </c>
      <c r="C12">
        <v>366.60744718659203</v>
      </c>
      <c r="D12">
        <v>95.698816698352303</v>
      </c>
      <c r="E12">
        <v>2541.3704190163198</v>
      </c>
      <c r="G12">
        <v>10</v>
      </c>
      <c r="H12">
        <v>2708.1423042740298</v>
      </c>
      <c r="J12">
        <f t="shared" si="0"/>
        <v>2708.1423042740257</v>
      </c>
      <c r="K12">
        <f t="shared" si="1"/>
        <v>4.0927261579781771E-12</v>
      </c>
    </row>
    <row r="13" spans="1:11" x14ac:dyDescent="0.2">
      <c r="A13">
        <v>11</v>
      </c>
      <c r="B13">
        <v>24.809769561288402</v>
      </c>
      <c r="C13">
        <v>391.88645098095498</v>
      </c>
      <c r="D13">
        <v>62.007799945605598</v>
      </c>
      <c r="E13">
        <v>1210.7262628114299</v>
      </c>
      <c r="G13">
        <v>11</v>
      </c>
      <c r="H13">
        <v>1303.6069777293999</v>
      </c>
      <c r="J13">
        <f t="shared" si="0"/>
        <v>1303.6069777293985</v>
      </c>
      <c r="K13">
        <f t="shared" si="1"/>
        <v>1.3642420526593924E-12</v>
      </c>
    </row>
    <row r="14" spans="1:11" x14ac:dyDescent="0.2">
      <c r="A14">
        <v>12</v>
      </c>
      <c r="B14">
        <v>98.137277864718399</v>
      </c>
      <c r="C14">
        <v>382.60105689554399</v>
      </c>
      <c r="D14">
        <v>96.444450092270003</v>
      </c>
      <c r="E14">
        <v>3347.53995579927</v>
      </c>
      <c r="G14">
        <v>12</v>
      </c>
      <c r="H14">
        <v>3236.7782842175102</v>
      </c>
      <c r="J14">
        <f t="shared" si="0"/>
        <v>3236.7782842174984</v>
      </c>
      <c r="K14">
        <f t="shared" si="1"/>
        <v>1.1823431123048067E-11</v>
      </c>
    </row>
    <row r="15" spans="1:11" x14ac:dyDescent="0.2">
      <c r="A15">
        <v>13</v>
      </c>
      <c r="B15">
        <v>19.7594844154148</v>
      </c>
      <c r="C15">
        <v>344.55027071236901</v>
      </c>
      <c r="D15">
        <v>77.735539257720404</v>
      </c>
      <c r="E15">
        <v>716.24213623636001</v>
      </c>
      <c r="G15">
        <v>13</v>
      </c>
      <c r="H15">
        <v>728.14623513820197</v>
      </c>
      <c r="J15">
        <f t="shared" si="0"/>
        <v>728.14623513820175</v>
      </c>
      <c r="K15">
        <f t="shared" si="1"/>
        <v>2.2737367544323206E-13</v>
      </c>
    </row>
    <row r="16" spans="1:11" x14ac:dyDescent="0.2">
      <c r="A16">
        <v>14</v>
      </c>
      <c r="B16">
        <v>12.3158585670826</v>
      </c>
      <c r="C16">
        <v>335.48629847827601</v>
      </c>
      <c r="D16">
        <v>9.0690150905822797</v>
      </c>
      <c r="E16">
        <v>3719.23713953488</v>
      </c>
      <c r="G16">
        <v>14</v>
      </c>
      <c r="H16">
        <v>3787.82038061819</v>
      </c>
      <c r="J16">
        <f t="shared" si="0"/>
        <v>3787.8203806181746</v>
      </c>
      <c r="K16">
        <f t="shared" si="1"/>
        <v>1.546140993013978E-11</v>
      </c>
    </row>
    <row r="17" spans="1:11" x14ac:dyDescent="0.2">
      <c r="A17">
        <v>15</v>
      </c>
      <c r="B17">
        <v>68.673913280759706</v>
      </c>
      <c r="C17">
        <v>362.70382048329702</v>
      </c>
      <c r="D17">
        <v>19.854102969082401</v>
      </c>
      <c r="E17">
        <v>10491.175517780801</v>
      </c>
      <c r="G17">
        <v>15</v>
      </c>
      <c r="H17">
        <v>10430.465144791</v>
      </c>
      <c r="J17">
        <f t="shared" si="0"/>
        <v>10430.465144790978</v>
      </c>
      <c r="K17">
        <f t="shared" si="1"/>
        <v>2.1827872842550278E-11</v>
      </c>
    </row>
    <row r="18" spans="1:11" x14ac:dyDescent="0.2">
      <c r="A18">
        <v>16</v>
      </c>
      <c r="B18">
        <v>52.353334588753597</v>
      </c>
      <c r="C18">
        <v>355.52868108732002</v>
      </c>
      <c r="D18">
        <v>46.610470123459102</v>
      </c>
      <c r="E18">
        <v>2796.7533023923802</v>
      </c>
      <c r="G18">
        <v>16</v>
      </c>
      <c r="H18">
        <v>3320.0569042111301</v>
      </c>
      <c r="J18">
        <f t="shared" si="0"/>
        <v>3320.0569042111265</v>
      </c>
      <c r="K18">
        <f t="shared" si="1"/>
        <v>3.637978807091713E-12</v>
      </c>
    </row>
    <row r="19" spans="1:11" x14ac:dyDescent="0.2">
      <c r="A19">
        <v>17</v>
      </c>
      <c r="B19">
        <v>45.4741393891602</v>
      </c>
      <c r="C19">
        <v>347.89104890958703</v>
      </c>
      <c r="D19">
        <v>90.265324074939301</v>
      </c>
      <c r="E19">
        <v>1361.8247154308799</v>
      </c>
      <c r="G19">
        <v>17</v>
      </c>
      <c r="H19">
        <v>1457.12502791727</v>
      </c>
      <c r="J19">
        <f t="shared" si="0"/>
        <v>1457.1250279172702</v>
      </c>
      <c r="K19">
        <f t="shared" si="1"/>
        <v>2.2737367544323206E-13</v>
      </c>
    </row>
    <row r="20" spans="1:11" x14ac:dyDescent="0.2">
      <c r="A20">
        <v>18</v>
      </c>
      <c r="B20">
        <v>27.255282240814601</v>
      </c>
      <c r="C20">
        <v>385.68016935784402</v>
      </c>
      <c r="D20">
        <v>38.880759172285501</v>
      </c>
      <c r="E20">
        <v>2160.51873904391</v>
      </c>
      <c r="G20">
        <v>18</v>
      </c>
      <c r="H20">
        <v>2247.7772783281698</v>
      </c>
      <c r="J20">
        <f t="shared" si="0"/>
        <v>2247.7772783281753</v>
      </c>
      <c r="K20">
        <f t="shared" si="1"/>
        <v>5.4569682106375694E-12</v>
      </c>
    </row>
    <row r="21" spans="1:11" x14ac:dyDescent="0.2">
      <c r="A21">
        <v>19</v>
      </c>
      <c r="B21">
        <v>91.958613069148697</v>
      </c>
      <c r="C21">
        <v>393.42870921499201</v>
      </c>
      <c r="D21">
        <v>34.650937627104199</v>
      </c>
      <c r="E21">
        <v>8069.2178982212199</v>
      </c>
      <c r="G21">
        <v>19</v>
      </c>
      <c r="H21">
        <v>8680.6748641387003</v>
      </c>
      <c r="J21">
        <f t="shared" si="0"/>
        <v>8680.6748641387003</v>
      </c>
      <c r="K21">
        <f t="shared" si="1"/>
        <v>0</v>
      </c>
    </row>
    <row r="22" spans="1:11" x14ac:dyDescent="0.2">
      <c r="A22">
        <v>20</v>
      </c>
      <c r="B22">
        <v>80.620883192070806</v>
      </c>
      <c r="C22">
        <v>343.83550486073699</v>
      </c>
      <c r="D22">
        <v>59.275104519350002</v>
      </c>
      <c r="E22">
        <v>3767.34305054885</v>
      </c>
      <c r="G22">
        <v>20</v>
      </c>
      <c r="H22">
        <v>3888.0869059205702</v>
      </c>
      <c r="J22">
        <f t="shared" si="0"/>
        <v>3888.0869059205693</v>
      </c>
      <c r="K22">
        <f t="shared" si="1"/>
        <v>9.0949470177292824E-13</v>
      </c>
    </row>
    <row r="23" spans="1:11" x14ac:dyDescent="0.2">
      <c r="A23">
        <v>21</v>
      </c>
      <c r="B23">
        <v>37.843518435751498</v>
      </c>
      <c r="C23">
        <v>369.04803267437501</v>
      </c>
      <c r="D23">
        <v>94.024793989060498</v>
      </c>
      <c r="E23">
        <v>1145.66219354946</v>
      </c>
      <c r="G23">
        <v>21</v>
      </c>
      <c r="H23">
        <v>1234.92911999239</v>
      </c>
      <c r="J23">
        <f t="shared" si="0"/>
        <v>1234.9291199923885</v>
      </c>
      <c r="K23">
        <f t="shared" si="1"/>
        <v>1.5916157281026244E-12</v>
      </c>
    </row>
    <row r="24" spans="1:11" x14ac:dyDescent="0.2">
      <c r="A24">
        <v>22</v>
      </c>
      <c r="B24">
        <v>35.600099248158202</v>
      </c>
      <c r="C24">
        <v>320.786499292087</v>
      </c>
      <c r="D24">
        <v>92.664936168811906</v>
      </c>
      <c r="E24">
        <v>1000.01455148404</v>
      </c>
      <c r="G24">
        <v>22</v>
      </c>
      <c r="H24">
        <v>1024.6177618449401</v>
      </c>
      <c r="J24">
        <f t="shared" si="0"/>
        <v>1024.6177618449394</v>
      </c>
      <c r="K24">
        <f t="shared" si="1"/>
        <v>6.8212102632969618E-13</v>
      </c>
    </row>
    <row r="25" spans="1:11" x14ac:dyDescent="0.2">
      <c r="A25">
        <v>23</v>
      </c>
      <c r="B25">
        <v>78.267053141685906</v>
      </c>
      <c r="C25">
        <v>336.69616576203703</v>
      </c>
      <c r="D25">
        <v>4.3571851044003997</v>
      </c>
      <c r="E25">
        <v>42659.954129404403</v>
      </c>
      <c r="G25">
        <v>23</v>
      </c>
      <c r="H25">
        <v>50282.9979402057</v>
      </c>
      <c r="J25">
        <f t="shared" si="0"/>
        <v>50282.997940205612</v>
      </c>
      <c r="K25">
        <f t="shared" si="1"/>
        <v>8.7311491370201111E-11</v>
      </c>
    </row>
    <row r="26" spans="1:11" x14ac:dyDescent="0.2">
      <c r="A26">
        <v>24</v>
      </c>
      <c r="B26">
        <v>23.8152113049962</v>
      </c>
      <c r="C26">
        <v>372.05663687475499</v>
      </c>
      <c r="D26">
        <v>26.119816696177299</v>
      </c>
      <c r="E26">
        <v>2788.0404492200901</v>
      </c>
      <c r="G26">
        <v>24</v>
      </c>
      <c r="H26">
        <v>2820.3524927069502</v>
      </c>
      <c r="J26">
        <f t="shared" si="0"/>
        <v>2820.352492706947</v>
      </c>
      <c r="K26">
        <f t="shared" si="1"/>
        <v>3.1832314562052488E-12</v>
      </c>
    </row>
    <row r="27" spans="1:11" x14ac:dyDescent="0.2">
      <c r="A27">
        <v>25</v>
      </c>
      <c r="B27">
        <v>21.253396748956501</v>
      </c>
      <c r="C27">
        <v>340.69342697649398</v>
      </c>
      <c r="D27">
        <v>80.642944535715898</v>
      </c>
      <c r="E27">
        <v>832.25313889821496</v>
      </c>
      <c r="G27">
        <v>25</v>
      </c>
      <c r="H27">
        <v>746.51020248518398</v>
      </c>
      <c r="J27">
        <f t="shared" si="0"/>
        <v>746.51020248518171</v>
      </c>
      <c r="K27">
        <f t="shared" si="1"/>
        <v>2.2737367544323206E-12</v>
      </c>
    </row>
    <row r="28" spans="1:11" x14ac:dyDescent="0.2">
      <c r="A28">
        <v>26</v>
      </c>
      <c r="B28">
        <v>49.665223520908398</v>
      </c>
      <c r="C28">
        <v>363.78278992570603</v>
      </c>
      <c r="D28">
        <v>77.216509295252706</v>
      </c>
      <c r="E28">
        <v>2167.3079694814501</v>
      </c>
      <c r="G28">
        <v>26</v>
      </c>
      <c r="H28">
        <v>1945.3349936586201</v>
      </c>
      <c r="J28">
        <f t="shared" si="0"/>
        <v>1945.3349936586158</v>
      </c>
      <c r="K28">
        <f t="shared" si="1"/>
        <v>4.3200998334214091E-12</v>
      </c>
    </row>
    <row r="29" spans="1:11" x14ac:dyDescent="0.2">
      <c r="A29">
        <v>27</v>
      </c>
      <c r="B29">
        <v>68.778733790373906</v>
      </c>
      <c r="C29">
        <v>303.82620799912399</v>
      </c>
      <c r="D29">
        <v>41.6806753059968</v>
      </c>
      <c r="E29">
        <v>3802.6593763555602</v>
      </c>
      <c r="G29">
        <v>27</v>
      </c>
      <c r="H29">
        <v>4168.2588696671301</v>
      </c>
      <c r="J29">
        <f t="shared" si="0"/>
        <v>4168.2588696671201</v>
      </c>
      <c r="K29">
        <f t="shared" si="1"/>
        <v>1.0004441719502211E-11</v>
      </c>
    </row>
    <row r="30" spans="1:11" x14ac:dyDescent="0.2">
      <c r="A30">
        <v>28</v>
      </c>
      <c r="B30">
        <v>43.095718104348002</v>
      </c>
      <c r="C30">
        <v>342.17038899805402</v>
      </c>
      <c r="D30">
        <v>62.111742026329601</v>
      </c>
      <c r="E30">
        <v>1814.0298683445801</v>
      </c>
      <c r="G30">
        <v>28</v>
      </c>
      <c r="H30">
        <v>1973.8441349868599</v>
      </c>
      <c r="J30">
        <f t="shared" si="0"/>
        <v>1973.8441349868556</v>
      </c>
      <c r="K30">
        <f t="shared" si="1"/>
        <v>4.3200998334214091E-12</v>
      </c>
    </row>
    <row r="31" spans="1:11" x14ac:dyDescent="0.2">
      <c r="A31">
        <v>29</v>
      </c>
      <c r="B31">
        <v>17.7117568026678</v>
      </c>
      <c r="C31">
        <v>353.81352200849</v>
      </c>
      <c r="D31">
        <v>13.4384238577441</v>
      </c>
      <c r="E31">
        <v>4120.1140759600003</v>
      </c>
      <c r="G31">
        <v>29</v>
      </c>
      <c r="H31">
        <v>3877.0174194067399</v>
      </c>
      <c r="J31">
        <f t="shared" si="0"/>
        <v>3877.0174194067449</v>
      </c>
      <c r="K31">
        <f t="shared" si="1"/>
        <v>5.0022208597511053E-12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6F845-CEED-0347-B0F4-A84109A847F3}">
  <dimension ref="A1:J28"/>
  <sheetViews>
    <sheetView tabSelected="1" workbookViewId="0">
      <selection activeCell="G30" sqref="G30"/>
    </sheetView>
  </sheetViews>
  <sheetFormatPr baseColWidth="10" defaultRowHeight="16" x14ac:dyDescent="0.2"/>
  <cols>
    <col min="9" max="10" width="12.1640625" bestFit="1" customWidth="1"/>
  </cols>
  <sheetData>
    <row r="1" spans="1:10" x14ac:dyDescent="0.2">
      <c r="B1" t="s">
        <v>10</v>
      </c>
      <c r="C1" t="s">
        <v>2</v>
      </c>
      <c r="G1" t="s">
        <v>11</v>
      </c>
    </row>
    <row r="2" spans="1:10" x14ac:dyDescent="0.2">
      <c r="A2">
        <v>0</v>
      </c>
      <c r="B2">
        <v>345480919.47919899</v>
      </c>
      <c r="C2" s="1">
        <v>1.2519778135538499E-12</v>
      </c>
      <c r="F2">
        <v>0</v>
      </c>
      <c r="G2" s="1">
        <v>1.3625338157718899E-12</v>
      </c>
      <c r="I2">
        <f>(0.002/250000000)*((B2/250000000)^-1.2)*(EXP(-1*B2/250000000))</f>
        <v>1.3625338157719041E-12</v>
      </c>
      <c r="J2">
        <f>ABS(G2-I2)</f>
        <v>1.4136387421560532E-26</v>
      </c>
    </row>
    <row r="3" spans="1:10" x14ac:dyDescent="0.2">
      <c r="A3">
        <v>1</v>
      </c>
      <c r="B3">
        <v>56391912.152776197</v>
      </c>
      <c r="C3" s="1">
        <v>4.5204058955886898E-11</v>
      </c>
      <c r="F3">
        <v>1</v>
      </c>
      <c r="G3" s="1">
        <v>3.81236985706837E-11</v>
      </c>
      <c r="I3">
        <f t="shared" ref="I3:I28" si="0">(0.002/250000000)*((B3/250000000)^-1.2)*(EXP(-1*B3/250000000))</f>
        <v>3.8123698570683823E-11</v>
      </c>
      <c r="J3">
        <f t="shared" ref="J3:J28" si="1">ABS(G3-I3)</f>
        <v>1.2278462217584005E-25</v>
      </c>
    </row>
    <row r="4" spans="1:10" x14ac:dyDescent="0.2">
      <c r="A4">
        <v>2</v>
      </c>
      <c r="B4">
        <v>1107878.0035562499</v>
      </c>
      <c r="C4" s="1">
        <v>6.0285284004150999E-9</v>
      </c>
      <c r="F4">
        <v>2</v>
      </c>
      <c r="G4" s="1">
        <v>5.3125507094585696E-9</v>
      </c>
      <c r="I4">
        <f t="shared" si="0"/>
        <v>5.3125507094586168E-9</v>
      </c>
      <c r="J4">
        <f t="shared" si="1"/>
        <v>4.7149294915522577E-23</v>
      </c>
    </row>
    <row r="5" spans="1:10" x14ac:dyDescent="0.2">
      <c r="A5">
        <v>3</v>
      </c>
      <c r="B5">
        <v>92513800.544160604</v>
      </c>
      <c r="C5" s="1">
        <v>1.7441170356009698E-11</v>
      </c>
      <c r="F5">
        <v>3</v>
      </c>
      <c r="G5" s="1">
        <v>1.8216177024351799E-11</v>
      </c>
      <c r="I5">
        <f t="shared" si="0"/>
        <v>1.8216177024351848E-11</v>
      </c>
      <c r="J5">
        <f t="shared" si="1"/>
        <v>4.8467614016778965E-26</v>
      </c>
    </row>
    <row r="6" spans="1:10" x14ac:dyDescent="0.2">
      <c r="A6">
        <v>4</v>
      </c>
      <c r="B6">
        <v>7194526.3107177997</v>
      </c>
      <c r="C6" s="1">
        <v>4.5878131135433799E-10</v>
      </c>
      <c r="F6">
        <v>4</v>
      </c>
      <c r="G6" s="1">
        <v>5.4918311853704E-10</v>
      </c>
      <c r="I6">
        <f t="shared" si="0"/>
        <v>5.4918311853704093E-10</v>
      </c>
      <c r="J6">
        <f t="shared" si="1"/>
        <v>9.3057818912215613E-25</v>
      </c>
    </row>
    <row r="7" spans="1:10" x14ac:dyDescent="0.2">
      <c r="A7">
        <v>5</v>
      </c>
      <c r="B7">
        <v>4033265.4877805901</v>
      </c>
      <c r="C7" s="1">
        <v>1.04262925150215E-9</v>
      </c>
      <c r="F7">
        <v>5</v>
      </c>
      <c r="G7" s="1">
        <v>1.11384132153224E-9</v>
      </c>
      <c r="I7">
        <f t="shared" si="0"/>
        <v>1.1138413215322452E-9</v>
      </c>
      <c r="J7">
        <f t="shared" si="1"/>
        <v>5.169878828456423E-24</v>
      </c>
    </row>
    <row r="8" spans="1:10" x14ac:dyDescent="0.2">
      <c r="A8">
        <v>6</v>
      </c>
      <c r="B8">
        <v>16637024.373126199</v>
      </c>
      <c r="C8" s="1">
        <v>2.5488987300777602E-10</v>
      </c>
      <c r="F8">
        <v>6</v>
      </c>
      <c r="G8" s="1">
        <v>1.9338631700793401E-10</v>
      </c>
      <c r="I8">
        <f t="shared" si="0"/>
        <v>1.9338631700793401E-10</v>
      </c>
      <c r="J8">
        <f t="shared" si="1"/>
        <v>0</v>
      </c>
    </row>
    <row r="9" spans="1:10" x14ac:dyDescent="0.2">
      <c r="A9">
        <v>7</v>
      </c>
      <c r="B9">
        <v>2880395519.8899999</v>
      </c>
      <c r="C9" s="1">
        <v>3.9079147132129199E-18</v>
      </c>
      <c r="F9">
        <v>7</v>
      </c>
      <c r="G9" s="1">
        <v>4.2219776052951204E-18</v>
      </c>
      <c r="I9">
        <f t="shared" si="0"/>
        <v>4.2219776052952729E-18</v>
      </c>
      <c r="J9">
        <f t="shared" si="1"/>
        <v>1.5253365159546908E-31</v>
      </c>
    </row>
    <row r="10" spans="1:10" x14ac:dyDescent="0.2">
      <c r="A10">
        <v>8</v>
      </c>
      <c r="B10">
        <v>73856807.515185505</v>
      </c>
      <c r="C10" s="1">
        <v>2.3800652704109802E-11</v>
      </c>
      <c r="F10">
        <v>8</v>
      </c>
      <c r="G10" s="1">
        <v>2.5718577508551001E-11</v>
      </c>
      <c r="I10">
        <f t="shared" si="0"/>
        <v>2.5718577508550992E-11</v>
      </c>
      <c r="J10">
        <f t="shared" si="1"/>
        <v>9.6935228033557931E-27</v>
      </c>
    </row>
    <row r="11" spans="1:10" x14ac:dyDescent="0.2">
      <c r="A11">
        <v>9</v>
      </c>
      <c r="B11">
        <v>193436814.56583101</v>
      </c>
      <c r="C11" s="1">
        <v>2.5803314612089599E-12</v>
      </c>
      <c r="F11">
        <v>9</v>
      </c>
      <c r="G11" s="1">
        <v>5.0203832807295198E-12</v>
      </c>
      <c r="I11">
        <f t="shared" si="0"/>
        <v>5.0203832807295464E-12</v>
      </c>
      <c r="J11">
        <f t="shared" si="1"/>
        <v>2.6657187709228431E-26</v>
      </c>
    </row>
    <row r="12" spans="1:10" x14ac:dyDescent="0.2">
      <c r="A12">
        <v>10</v>
      </c>
      <c r="B12">
        <v>1062832.0777934301</v>
      </c>
      <c r="C12" s="1">
        <v>5.3180446813772902E-9</v>
      </c>
      <c r="F12">
        <v>10</v>
      </c>
      <c r="G12" s="1">
        <v>5.5848830689257601E-9</v>
      </c>
      <c r="I12">
        <f t="shared" si="0"/>
        <v>5.5848830689258105E-9</v>
      </c>
      <c r="J12">
        <f t="shared" si="1"/>
        <v>5.0458017365734688E-23</v>
      </c>
    </row>
    <row r="13" spans="1:10" x14ac:dyDescent="0.2">
      <c r="A13">
        <v>11</v>
      </c>
      <c r="B13">
        <v>1439401536.6055901</v>
      </c>
      <c r="C13" s="1">
        <v>2.2339318072526701E-15</v>
      </c>
      <c r="F13">
        <v>11</v>
      </c>
      <c r="G13" s="1">
        <v>3.09245269273052E-15</v>
      </c>
      <c r="I13">
        <f t="shared" si="0"/>
        <v>3.092452692730578E-15</v>
      </c>
      <c r="J13">
        <f t="shared" si="1"/>
        <v>5.7981276533744368E-29</v>
      </c>
    </row>
    <row r="14" spans="1:10" x14ac:dyDescent="0.2">
      <c r="A14">
        <v>12</v>
      </c>
      <c r="B14">
        <v>1109009583.4011099</v>
      </c>
      <c r="C14" s="1">
        <v>1.3319115981612799E-14</v>
      </c>
      <c r="F14">
        <v>12</v>
      </c>
      <c r="G14" s="1">
        <v>1.5854358296931001E-14</v>
      </c>
      <c r="I14">
        <f t="shared" si="0"/>
        <v>1.5854358296931578E-14</v>
      </c>
      <c r="J14">
        <f t="shared" si="1"/>
        <v>5.7744618262178064E-28</v>
      </c>
    </row>
    <row r="15" spans="1:10" x14ac:dyDescent="0.2">
      <c r="A15">
        <v>13</v>
      </c>
      <c r="B15">
        <v>17907430.227620602</v>
      </c>
      <c r="C15" s="1">
        <v>2.1028269225681301E-10</v>
      </c>
      <c r="F15">
        <v>13</v>
      </c>
      <c r="G15" s="1">
        <v>1.76144741919435E-10</v>
      </c>
      <c r="I15">
        <f t="shared" si="0"/>
        <v>1.761447419194351E-10</v>
      </c>
      <c r="J15">
        <f t="shared" si="1"/>
        <v>1.0339757656912846E-25</v>
      </c>
    </row>
    <row r="16" spans="1:10" x14ac:dyDescent="0.2">
      <c r="A16">
        <v>14</v>
      </c>
      <c r="B16">
        <v>746902337.743487</v>
      </c>
      <c r="C16" s="1">
        <v>1.0634119796946799E-13</v>
      </c>
      <c r="F16">
        <v>14</v>
      </c>
      <c r="G16" s="1">
        <v>1.0844240975318E-13</v>
      </c>
      <c r="I16">
        <f t="shared" si="0"/>
        <v>1.0844240975318001E-13</v>
      </c>
      <c r="J16">
        <f t="shared" si="1"/>
        <v>1.2621774483536189E-29</v>
      </c>
    </row>
    <row r="17" spans="1:10" x14ac:dyDescent="0.2">
      <c r="A17">
        <v>15</v>
      </c>
      <c r="B17">
        <v>3715699.9742811099</v>
      </c>
      <c r="C17" s="1">
        <v>9.8586434013170291E-10</v>
      </c>
      <c r="F17">
        <v>15</v>
      </c>
      <c r="G17" s="1">
        <v>1.2305928801994101E-9</v>
      </c>
      <c r="I17">
        <f t="shared" si="0"/>
        <v>1.2305928801994074E-9</v>
      </c>
      <c r="J17">
        <f t="shared" si="1"/>
        <v>2.6883369907973399E-24</v>
      </c>
    </row>
    <row r="18" spans="1:10" x14ac:dyDescent="0.2">
      <c r="A18">
        <v>16</v>
      </c>
      <c r="B18">
        <v>6248190.15670483</v>
      </c>
      <c r="C18" s="1">
        <v>5.0748658598024703E-10</v>
      </c>
      <c r="F18">
        <v>16</v>
      </c>
      <c r="G18" s="1">
        <v>6.5291807776617899E-10</v>
      </c>
      <c r="I18">
        <f t="shared" si="0"/>
        <v>6.5291807776617982E-10</v>
      </c>
      <c r="J18">
        <f t="shared" si="1"/>
        <v>8.2718061255302767E-25</v>
      </c>
    </row>
    <row r="19" spans="1:10" x14ac:dyDescent="0.2">
      <c r="A19">
        <v>17</v>
      </c>
      <c r="B19">
        <v>349607351.72939402</v>
      </c>
      <c r="C19" s="1">
        <v>1.32915679985652E-12</v>
      </c>
      <c r="F19">
        <v>17</v>
      </c>
      <c r="G19" s="1">
        <v>1.32126872350462E-12</v>
      </c>
      <c r="I19">
        <f t="shared" si="0"/>
        <v>1.3212687235046184E-12</v>
      </c>
      <c r="J19">
        <f t="shared" si="1"/>
        <v>1.6155871338926322E-27</v>
      </c>
    </row>
    <row r="20" spans="1:10" x14ac:dyDescent="0.2">
      <c r="A20">
        <v>18</v>
      </c>
      <c r="B20">
        <v>2975868.7202967401</v>
      </c>
      <c r="C20" s="1">
        <v>1.7232737148093699E-9</v>
      </c>
      <c r="F20">
        <v>18</v>
      </c>
      <c r="G20" s="1">
        <v>1.6110605444881899E-9</v>
      </c>
      <c r="I20">
        <f t="shared" si="0"/>
        <v>1.6110605444881893E-9</v>
      </c>
      <c r="J20">
        <f t="shared" si="1"/>
        <v>6.2038545941477076E-25</v>
      </c>
    </row>
    <row r="21" spans="1:10" x14ac:dyDescent="0.2">
      <c r="A21">
        <v>19</v>
      </c>
      <c r="B21">
        <v>3833104.3938359101</v>
      </c>
      <c r="C21" s="1">
        <v>1.29010355236519E-9</v>
      </c>
      <c r="F21">
        <v>19</v>
      </c>
      <c r="G21" s="1">
        <v>1.1849456643570099E-9</v>
      </c>
      <c r="I21">
        <f t="shared" si="0"/>
        <v>1.1849456643570068E-9</v>
      </c>
      <c r="J21">
        <f t="shared" si="1"/>
        <v>3.1019272970738538E-24</v>
      </c>
    </row>
    <row r="22" spans="1:10" x14ac:dyDescent="0.2">
      <c r="A22">
        <v>20</v>
      </c>
      <c r="B22">
        <v>2110828.91264635</v>
      </c>
      <c r="C22" s="1">
        <v>2.6494339441544102E-9</v>
      </c>
      <c r="F22">
        <v>20</v>
      </c>
      <c r="G22" s="1">
        <v>2.44122310086207E-9</v>
      </c>
      <c r="I22">
        <f t="shared" si="0"/>
        <v>2.441223100862082E-9</v>
      </c>
      <c r="J22">
        <f t="shared" si="1"/>
        <v>1.1994118882018901E-23</v>
      </c>
    </row>
    <row r="23" spans="1:10" x14ac:dyDescent="0.2">
      <c r="A23">
        <v>21</v>
      </c>
      <c r="B23">
        <v>75957990.953842998</v>
      </c>
      <c r="C23" s="1">
        <v>2.6397422915306301E-11</v>
      </c>
      <c r="F23">
        <v>21</v>
      </c>
      <c r="G23" s="1">
        <v>2.4659103806182999E-11</v>
      </c>
      <c r="I23">
        <f t="shared" si="0"/>
        <v>2.4659103806183028E-11</v>
      </c>
      <c r="J23">
        <f t="shared" si="1"/>
        <v>2.9080568410067379E-26</v>
      </c>
    </row>
    <row r="24" spans="1:10" x14ac:dyDescent="0.2">
      <c r="A24">
        <v>22</v>
      </c>
      <c r="B24">
        <v>241127016.37592101</v>
      </c>
      <c r="C24" s="1">
        <v>4.0447775972304102E-12</v>
      </c>
      <c r="F24">
        <v>22</v>
      </c>
      <c r="G24" s="1">
        <v>3.1845085552062801E-12</v>
      </c>
      <c r="I24">
        <f t="shared" si="0"/>
        <v>3.1845085552062902E-12</v>
      </c>
      <c r="J24">
        <f t="shared" si="1"/>
        <v>1.0097419586828951E-26</v>
      </c>
    </row>
    <row r="25" spans="1:10" x14ac:dyDescent="0.2">
      <c r="A25">
        <v>23</v>
      </c>
      <c r="B25">
        <v>4246433.3525697403</v>
      </c>
      <c r="C25" s="1">
        <v>9.3299145217441893E-10</v>
      </c>
      <c r="F25">
        <v>23</v>
      </c>
      <c r="G25" s="1">
        <v>1.04619348788351E-9</v>
      </c>
      <c r="I25">
        <f t="shared" si="0"/>
        <v>1.046193487883514E-9</v>
      </c>
      <c r="J25">
        <f t="shared" si="1"/>
        <v>3.9291079096268815E-24</v>
      </c>
    </row>
    <row r="26" spans="1:10" x14ac:dyDescent="0.2">
      <c r="A26">
        <v>24</v>
      </c>
      <c r="B26">
        <v>3271851.0845194198</v>
      </c>
      <c r="C26" s="1">
        <v>1.6889353463643E-9</v>
      </c>
      <c r="F26">
        <v>24</v>
      </c>
      <c r="G26" s="1">
        <v>1.4360910487355399E-9</v>
      </c>
      <c r="I26">
        <f t="shared" si="0"/>
        <v>1.4360910487355393E-9</v>
      </c>
      <c r="J26">
        <f t="shared" si="1"/>
        <v>6.2038545941477076E-25</v>
      </c>
    </row>
    <row r="27" spans="1:10" x14ac:dyDescent="0.2">
      <c r="A27">
        <v>25</v>
      </c>
      <c r="B27">
        <v>536769200.749336</v>
      </c>
      <c r="C27" s="1">
        <v>4.4702549747926401E-13</v>
      </c>
      <c r="F27">
        <v>25</v>
      </c>
      <c r="G27" s="1">
        <v>3.7360207823603802E-13</v>
      </c>
      <c r="I27">
        <f t="shared" si="0"/>
        <v>3.7360207823603868E-13</v>
      </c>
      <c r="J27">
        <f t="shared" si="1"/>
        <v>6.5633227314388182E-28</v>
      </c>
    </row>
    <row r="28" spans="1:10" x14ac:dyDescent="0.2">
      <c r="A28">
        <v>26</v>
      </c>
      <c r="B28">
        <v>339314374.55282998</v>
      </c>
      <c r="C28" s="1">
        <v>1.3224468601171199E-12</v>
      </c>
      <c r="F28">
        <v>26</v>
      </c>
      <c r="G28" s="1">
        <v>1.42707186974516E-12</v>
      </c>
      <c r="I28">
        <f t="shared" si="0"/>
        <v>1.4270718697451619E-12</v>
      </c>
      <c r="J28">
        <f t="shared" si="1"/>
        <v>1.8175355256292112E-27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rydberg</vt:lpstr>
      <vt:lpstr>ideal_gas</vt:lpstr>
      <vt:lpstr>schechter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H</dc:creator>
  <cp:lastModifiedBy>E H</cp:lastModifiedBy>
  <dcterms:created xsi:type="dcterms:W3CDTF">2026-05-17T19:23:02Z</dcterms:created>
  <dcterms:modified xsi:type="dcterms:W3CDTF">2026-07-20T01:24:31Z</dcterms:modified>
</cp:coreProperties>
</file>