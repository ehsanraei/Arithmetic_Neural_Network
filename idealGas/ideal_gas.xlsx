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05ee91040f7e34/Thesis_Materials/Paper1/paper 1 new/uploadedToGithub/idealGas/"/>
    </mc:Choice>
  </mc:AlternateContent>
  <xr:revisionPtr revIDLastSave="27" documentId="13_ncr:1_{B87E5A39-DFA3-E24F-83D2-F13AC71821B8}" xr6:coauthVersionLast="47" xr6:coauthVersionMax="47" xr10:uidLastSave="{EC145F33-4748-174A-80D9-5DC4B5967B91}"/>
  <bookViews>
    <workbookView xWindow="680" yWindow="740" windowWidth="28040" windowHeight="16580" xr2:uid="{956B58E6-29C9-A746-9CA0-03C45AF031FC}"/>
  </bookViews>
  <sheets>
    <sheet name="ideal_gas_melted" sheetId="2" r:id="rId1"/>
    <sheet name="ideal_gas_" sheetId="1" r:id="rId2"/>
    <sheet name="Los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I3" i="2" s="1"/>
  <c r="H4" i="2"/>
  <c r="I4" i="2" s="1"/>
  <c r="H5" i="2"/>
  <c r="I5" i="2" s="1"/>
  <c r="H6" i="2"/>
  <c r="I6" i="2"/>
  <c r="H7" i="2"/>
  <c r="I7" i="2" s="1"/>
  <c r="H8" i="2"/>
  <c r="I8" i="2" s="1"/>
  <c r="H9" i="2"/>
  <c r="I9" i="2" s="1"/>
  <c r="H10" i="2"/>
  <c r="I10" i="2" s="1"/>
  <c r="H11" i="2"/>
  <c r="I11" i="2" s="1"/>
  <c r="H12" i="2"/>
  <c r="I12" i="2"/>
  <c r="H13" i="2"/>
  <c r="I13" i="2" s="1"/>
  <c r="H14" i="2"/>
  <c r="I14" i="2" s="1"/>
  <c r="H15" i="2"/>
  <c r="I15" i="2" s="1"/>
  <c r="H16" i="2"/>
  <c r="I16" i="2"/>
  <c r="H17" i="2"/>
  <c r="I17" i="2"/>
  <c r="H18" i="2"/>
  <c r="I18" i="2" s="1"/>
  <c r="H19" i="2"/>
  <c r="I19" i="2" s="1"/>
  <c r="H20" i="2"/>
  <c r="I20" i="2"/>
  <c r="H21" i="2"/>
  <c r="I21" i="2"/>
  <c r="H22" i="2"/>
  <c r="I22" i="2" s="1"/>
  <c r="H23" i="2"/>
  <c r="I23" i="2" s="1"/>
  <c r="H24" i="2"/>
  <c r="I24" i="2"/>
  <c r="H25" i="2"/>
  <c r="I25" i="2"/>
  <c r="H26" i="2"/>
  <c r="I26" i="2"/>
  <c r="H27" i="2"/>
  <c r="I27" i="2" s="1"/>
  <c r="H28" i="2"/>
  <c r="I28" i="2" s="1"/>
  <c r="H29" i="2"/>
  <c r="I29" i="2"/>
  <c r="H30" i="2"/>
  <c r="I30" i="2"/>
  <c r="H31" i="2"/>
  <c r="I31" i="2" s="1"/>
  <c r="I2" i="2"/>
  <c r="H2" i="2"/>
</calcChain>
</file>

<file path=xl/sharedStrings.xml><?xml version="1.0" encoding="utf-8"?>
<sst xmlns="http://schemas.openxmlformats.org/spreadsheetml/2006/main" count="152" uniqueCount="13">
  <si>
    <t>index</t>
  </si>
  <si>
    <t>n</t>
  </si>
  <si>
    <t>T</t>
  </si>
  <si>
    <t>V</t>
  </si>
  <si>
    <t>Model</t>
  </si>
  <si>
    <t>Obs</t>
  </si>
  <si>
    <t>diff</t>
  </si>
  <si>
    <t>perc</t>
  </si>
  <si>
    <t>Validation</t>
  </si>
  <si>
    <t>Extrapolation</t>
  </si>
  <si>
    <t>C</t>
  </si>
  <si>
    <t>Training</t>
  </si>
  <si>
    <t>Epoch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</si>
</sst>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A0A5A-6166-D34C-BE30-56D6B261480A}">
  <dimension ref="A1:I131"/>
  <sheetViews>
    <sheetView tabSelected="1" workbookViewId="0">
      <selection activeCell="J2" sqref="J2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10</v>
      </c>
      <c r="F1" t="s">
        <v>4</v>
      </c>
      <c r="G1" t="s">
        <v>5</v>
      </c>
      <c r="H1" t="s">
        <v>6</v>
      </c>
      <c r="I1" t="s">
        <v>7</v>
      </c>
    </row>
    <row r="2" spans="1:9" x14ac:dyDescent="0.2">
      <c r="A2" t="s">
        <v>11</v>
      </c>
      <c r="B2">
        <v>35.600099248158202</v>
      </c>
      <c r="C2">
        <v>320.786499292087</v>
      </c>
      <c r="D2">
        <v>92.664936168811906</v>
      </c>
      <c r="E2">
        <v>1</v>
      </c>
      <c r="F2">
        <v>964.08044433593705</v>
      </c>
      <c r="G2">
        <v>1000.01455148404</v>
      </c>
      <c r="H2">
        <f>ABS(F2-G2)</f>
        <v>35.934107148102953</v>
      </c>
      <c r="I2">
        <f>H2/G2</f>
        <v>3.5933584261125077E-2</v>
      </c>
    </row>
    <row r="3" spans="1:9" x14ac:dyDescent="0.2">
      <c r="A3" t="s">
        <v>11</v>
      </c>
      <c r="B3">
        <v>80.620883192070806</v>
      </c>
      <c r="C3">
        <v>343.83550486073699</v>
      </c>
      <c r="D3">
        <v>59.275104519350002</v>
      </c>
      <c r="E3">
        <v>1</v>
      </c>
      <c r="F3">
        <v>3861.5634765625</v>
      </c>
      <c r="G3">
        <v>3767.34305054885</v>
      </c>
      <c r="H3">
        <f t="shared" ref="H3:H31" si="0">ABS(F3-G3)</f>
        <v>94.220426013650012</v>
      </c>
      <c r="I3">
        <f t="shared" ref="I3:I31" si="1">H3/G3</f>
        <v>2.5009781363001544E-2</v>
      </c>
    </row>
    <row r="4" spans="1:9" x14ac:dyDescent="0.2">
      <c r="A4" t="s">
        <v>11</v>
      </c>
      <c r="B4">
        <v>8.4824141277343195</v>
      </c>
      <c r="C4">
        <v>324.04055678694999</v>
      </c>
      <c r="D4">
        <v>97.5209725418445</v>
      </c>
      <c r="E4">
        <v>1</v>
      </c>
      <c r="F4">
        <v>189.31417846679599</v>
      </c>
      <c r="G4">
        <v>251.91420533356501</v>
      </c>
      <c r="H4">
        <f t="shared" si="0"/>
        <v>62.600026866769014</v>
      </c>
      <c r="I4">
        <f t="shared" si="1"/>
        <v>0.24849740721798111</v>
      </c>
    </row>
    <row r="5" spans="1:9" x14ac:dyDescent="0.2">
      <c r="A5" t="s">
        <v>11</v>
      </c>
      <c r="B5">
        <v>42.240452369183402</v>
      </c>
      <c r="C5">
        <v>390.69260181917502</v>
      </c>
      <c r="D5">
        <v>20.320926818475701</v>
      </c>
      <c r="E5">
        <v>1</v>
      </c>
      <c r="F5">
        <v>5943.3544921875</v>
      </c>
      <c r="G5">
        <v>6040.2557768075803</v>
      </c>
      <c r="H5">
        <f t="shared" si="0"/>
        <v>96.901284620080332</v>
      </c>
      <c r="I5">
        <f t="shared" si="1"/>
        <v>1.6042579685474012E-2</v>
      </c>
    </row>
    <row r="6" spans="1:9" x14ac:dyDescent="0.2">
      <c r="A6" t="s">
        <v>11</v>
      </c>
      <c r="B6">
        <v>17.7117568026678</v>
      </c>
      <c r="C6">
        <v>353.81352200849</v>
      </c>
      <c r="D6">
        <v>13.4384238577441</v>
      </c>
      <c r="E6">
        <v>1</v>
      </c>
      <c r="F6">
        <v>4025.29028320312</v>
      </c>
      <c r="G6">
        <v>4120.1140759600003</v>
      </c>
      <c r="H6">
        <f t="shared" si="0"/>
        <v>94.823792756880266</v>
      </c>
      <c r="I6">
        <f t="shared" si="1"/>
        <v>2.3014846435965734E-2</v>
      </c>
    </row>
    <row r="7" spans="1:9" x14ac:dyDescent="0.2">
      <c r="A7" t="s">
        <v>11</v>
      </c>
      <c r="B7">
        <v>12.3158585670826</v>
      </c>
      <c r="C7">
        <v>335.48629847827601</v>
      </c>
      <c r="D7">
        <v>9.0690150905822797</v>
      </c>
      <c r="E7">
        <v>1</v>
      </c>
      <c r="F7">
        <v>3827.08642578125</v>
      </c>
      <c r="G7">
        <v>3719.23713953488</v>
      </c>
      <c r="H7">
        <f t="shared" si="0"/>
        <v>107.84928624636996</v>
      </c>
      <c r="I7">
        <f t="shared" si="1"/>
        <v>2.8997690171446655E-2</v>
      </c>
    </row>
    <row r="8" spans="1:9" x14ac:dyDescent="0.2">
      <c r="A8" t="s">
        <v>11</v>
      </c>
      <c r="B8">
        <v>27.255282240814601</v>
      </c>
      <c r="C8">
        <v>385.68016935784402</v>
      </c>
      <c r="D8">
        <v>38.880759172285501</v>
      </c>
      <c r="E8">
        <v>1</v>
      </c>
      <c r="F8">
        <v>2111.97534179687</v>
      </c>
      <c r="G8">
        <v>2160.51873904391</v>
      </c>
      <c r="H8">
        <f t="shared" si="0"/>
        <v>48.543397247040048</v>
      </c>
      <c r="I8">
        <f t="shared" si="1"/>
        <v>2.2468399079251616E-2</v>
      </c>
    </row>
    <row r="9" spans="1:9" x14ac:dyDescent="0.2">
      <c r="A9" t="s">
        <v>11</v>
      </c>
      <c r="B9">
        <v>68.673913280759706</v>
      </c>
      <c r="C9">
        <v>362.70382048329702</v>
      </c>
      <c r="D9">
        <v>19.854102969082401</v>
      </c>
      <c r="E9">
        <v>1</v>
      </c>
      <c r="F9">
        <v>10345.52734375</v>
      </c>
      <c r="G9">
        <v>10491.175517780801</v>
      </c>
      <c r="H9">
        <f t="shared" si="0"/>
        <v>145.64817403080087</v>
      </c>
      <c r="I9">
        <f t="shared" si="1"/>
        <v>1.3882922250604939E-2</v>
      </c>
    </row>
    <row r="10" spans="1:9" x14ac:dyDescent="0.2">
      <c r="A10" t="s">
        <v>11</v>
      </c>
      <c r="B10">
        <v>45.4741393891602</v>
      </c>
      <c r="C10">
        <v>347.89104890958703</v>
      </c>
      <c r="D10">
        <v>90.265324074939301</v>
      </c>
      <c r="E10">
        <v>1</v>
      </c>
      <c r="F10">
        <v>1477.369140625</v>
      </c>
      <c r="G10">
        <v>1361.8247154308799</v>
      </c>
      <c r="H10">
        <f t="shared" si="0"/>
        <v>115.54442519412009</v>
      </c>
      <c r="I10">
        <f t="shared" si="1"/>
        <v>8.4845299020411713E-2</v>
      </c>
    </row>
    <row r="11" spans="1:9" x14ac:dyDescent="0.2">
      <c r="A11" t="s">
        <v>11</v>
      </c>
      <c r="B11">
        <v>24.809769561288402</v>
      </c>
      <c r="C11">
        <v>391.88645098095498</v>
      </c>
      <c r="D11">
        <v>62.007799945605598</v>
      </c>
      <c r="E11">
        <v>1</v>
      </c>
      <c r="F11">
        <v>1261.40209960937</v>
      </c>
      <c r="G11">
        <v>1210.7262628114299</v>
      </c>
      <c r="H11">
        <f t="shared" si="0"/>
        <v>50.675836797940065</v>
      </c>
      <c r="I11">
        <f t="shared" si="1"/>
        <v>4.1855734326160236E-2</v>
      </c>
    </row>
    <row r="12" spans="1:9" x14ac:dyDescent="0.2">
      <c r="A12" t="s">
        <v>11</v>
      </c>
      <c r="B12">
        <v>68.778733790373906</v>
      </c>
      <c r="C12">
        <v>303.82620799912399</v>
      </c>
      <c r="D12">
        <v>41.6806753059968</v>
      </c>
      <c r="E12">
        <v>1</v>
      </c>
      <c r="F12">
        <v>3620.80297851562</v>
      </c>
      <c r="G12">
        <v>3802.6593763555602</v>
      </c>
      <c r="H12">
        <f t="shared" si="0"/>
        <v>181.8563978399402</v>
      </c>
      <c r="I12">
        <f t="shared" si="1"/>
        <v>4.7823478213878307E-2</v>
      </c>
    </row>
    <row r="13" spans="1:9" x14ac:dyDescent="0.2">
      <c r="A13" t="s">
        <v>11</v>
      </c>
      <c r="B13">
        <v>21.253396748956501</v>
      </c>
      <c r="C13">
        <v>340.69342697649398</v>
      </c>
      <c r="D13">
        <v>80.642944535715898</v>
      </c>
      <c r="E13">
        <v>1</v>
      </c>
      <c r="F13">
        <v>719.91174316406205</v>
      </c>
      <c r="G13">
        <v>832.25313889821496</v>
      </c>
      <c r="H13">
        <f t="shared" si="0"/>
        <v>112.34139573415291</v>
      </c>
      <c r="I13">
        <f t="shared" si="1"/>
        <v>0.13498464647772548</v>
      </c>
    </row>
    <row r="14" spans="1:9" x14ac:dyDescent="0.2">
      <c r="A14" t="s">
        <v>11</v>
      </c>
      <c r="B14">
        <v>18.091793634253499</v>
      </c>
      <c r="C14">
        <v>369.31948104664599</v>
      </c>
      <c r="D14">
        <v>3.9092459025314699</v>
      </c>
      <c r="E14">
        <v>1</v>
      </c>
      <c r="F14">
        <v>12195.763671875</v>
      </c>
      <c r="G14">
        <v>12332.772582514601</v>
      </c>
      <c r="H14">
        <f t="shared" si="0"/>
        <v>137.0089106396008</v>
      </c>
      <c r="I14">
        <f t="shared" si="1"/>
        <v>1.1109335692596162E-2</v>
      </c>
    </row>
    <row r="15" spans="1:9" x14ac:dyDescent="0.2">
      <c r="A15" t="s">
        <v>11</v>
      </c>
      <c r="B15">
        <v>92.5712992029719</v>
      </c>
      <c r="C15">
        <v>317.60951008982801</v>
      </c>
      <c r="D15">
        <v>3.7762315933041299</v>
      </c>
      <c r="E15">
        <v>1</v>
      </c>
      <c r="F15">
        <v>53285.5625</v>
      </c>
      <c r="G15">
        <v>53868.575239219303</v>
      </c>
      <c r="H15">
        <f t="shared" si="0"/>
        <v>583.0127392193026</v>
      </c>
      <c r="I15">
        <f t="shared" si="1"/>
        <v>1.082287282762283E-2</v>
      </c>
    </row>
    <row r="16" spans="1:9" x14ac:dyDescent="0.2">
      <c r="A16" t="s">
        <v>11</v>
      </c>
      <c r="B16">
        <v>26.860298512589001</v>
      </c>
      <c r="C16">
        <v>333.30802456223103</v>
      </c>
      <c r="D16">
        <v>53.2552044505805</v>
      </c>
      <c r="E16">
        <v>1</v>
      </c>
      <c r="F16">
        <v>1205.90319824218</v>
      </c>
      <c r="G16">
        <v>1298.5680813158201</v>
      </c>
      <c r="H16">
        <f t="shared" si="0"/>
        <v>92.664883073640112</v>
      </c>
      <c r="I16">
        <f t="shared" si="1"/>
        <v>7.1359279815151583E-2</v>
      </c>
    </row>
    <row r="17" spans="1:9" x14ac:dyDescent="0.2">
      <c r="A17" t="s">
        <v>11</v>
      </c>
      <c r="B17">
        <v>1.5325679234501399</v>
      </c>
      <c r="C17">
        <v>324.938408268253</v>
      </c>
      <c r="D17">
        <v>94.239957642171703</v>
      </c>
      <c r="E17">
        <v>1</v>
      </c>
      <c r="F17">
        <v>41.505638122558501</v>
      </c>
      <c r="G17">
        <v>42.6593087593645</v>
      </c>
      <c r="H17">
        <f t="shared" si="0"/>
        <v>1.1536706368059981</v>
      </c>
      <c r="I17">
        <f t="shared" si="1"/>
        <v>2.7043819282532241E-2</v>
      </c>
    </row>
    <row r="18" spans="1:9" x14ac:dyDescent="0.2">
      <c r="A18" t="s">
        <v>11</v>
      </c>
      <c r="B18">
        <v>37.843518435751498</v>
      </c>
      <c r="C18">
        <v>369.04803267437501</v>
      </c>
      <c r="D18">
        <v>94.024793989060498</v>
      </c>
      <c r="E18">
        <v>1</v>
      </c>
      <c r="F18">
        <v>1214.33508300781</v>
      </c>
      <c r="G18">
        <v>1145.66219354946</v>
      </c>
      <c r="H18">
        <f t="shared" si="0"/>
        <v>68.672889458350028</v>
      </c>
      <c r="I18">
        <f t="shared" si="1"/>
        <v>5.9941656314580406E-2</v>
      </c>
    </row>
    <row r="19" spans="1:9" x14ac:dyDescent="0.2">
      <c r="A19" t="s">
        <v>11</v>
      </c>
      <c r="B19">
        <v>52.353334588753597</v>
      </c>
      <c r="C19">
        <v>355.52868108732002</v>
      </c>
      <c r="D19">
        <v>46.610470123459102</v>
      </c>
      <c r="E19">
        <v>1</v>
      </c>
      <c r="F19">
        <v>2774.98583984375</v>
      </c>
      <c r="G19">
        <v>2796.7533023923802</v>
      </c>
      <c r="H19">
        <f t="shared" si="0"/>
        <v>21.767462548630192</v>
      </c>
      <c r="I19">
        <f t="shared" si="1"/>
        <v>7.7831185646621082E-3</v>
      </c>
    </row>
    <row r="20" spans="1:9" x14ac:dyDescent="0.2">
      <c r="A20" t="s">
        <v>11</v>
      </c>
      <c r="B20">
        <v>98.137277864718399</v>
      </c>
      <c r="C20">
        <v>382.60105689554399</v>
      </c>
      <c r="D20">
        <v>96.444450092270003</v>
      </c>
      <c r="E20">
        <v>1</v>
      </c>
      <c r="F20">
        <v>3254.263671875</v>
      </c>
      <c r="G20">
        <v>3347.53995579927</v>
      </c>
      <c r="H20">
        <f t="shared" si="0"/>
        <v>93.276283924270047</v>
      </c>
      <c r="I20">
        <f t="shared" si="1"/>
        <v>2.7864128630542093E-2</v>
      </c>
    </row>
    <row r="21" spans="1:9" x14ac:dyDescent="0.2">
      <c r="A21" t="s">
        <v>11</v>
      </c>
      <c r="B21">
        <v>23.8152113049962</v>
      </c>
      <c r="C21">
        <v>372.05663687475499</v>
      </c>
      <c r="D21">
        <v>26.119816696177299</v>
      </c>
      <c r="E21">
        <v>1</v>
      </c>
      <c r="F21">
        <v>3131.00439453125</v>
      </c>
      <c r="G21">
        <v>2788.0404492200901</v>
      </c>
      <c r="H21">
        <f t="shared" si="0"/>
        <v>342.96394531115993</v>
      </c>
      <c r="I21">
        <f t="shared" si="1"/>
        <v>0.1230125428801073</v>
      </c>
    </row>
    <row r="22" spans="1:9" x14ac:dyDescent="0.2">
      <c r="A22" t="s">
        <v>11</v>
      </c>
      <c r="B22">
        <v>91.958613069148697</v>
      </c>
      <c r="C22">
        <v>393.42870921499201</v>
      </c>
      <c r="D22">
        <v>34.650937627104199</v>
      </c>
      <c r="E22">
        <v>1</v>
      </c>
      <c r="F22">
        <v>8027.94287109375</v>
      </c>
      <c r="G22">
        <v>8069.2178982212199</v>
      </c>
      <c r="H22">
        <f t="shared" si="0"/>
        <v>41.275027127469912</v>
      </c>
      <c r="I22">
        <f t="shared" si="1"/>
        <v>5.1151211490482349E-3</v>
      </c>
    </row>
    <row r="23" spans="1:9" x14ac:dyDescent="0.2">
      <c r="A23" t="s">
        <v>11</v>
      </c>
      <c r="B23">
        <v>49.665223520908398</v>
      </c>
      <c r="C23">
        <v>363.78278992570603</v>
      </c>
      <c r="D23">
        <v>77.216509295252706</v>
      </c>
      <c r="E23">
        <v>1</v>
      </c>
      <c r="F23">
        <v>1989.57250976562</v>
      </c>
      <c r="G23">
        <v>2167.3079694814501</v>
      </c>
      <c r="H23">
        <f t="shared" si="0"/>
        <v>177.73545971583007</v>
      </c>
      <c r="I23">
        <f t="shared" si="1"/>
        <v>8.2007477579826848E-2</v>
      </c>
    </row>
    <row r="24" spans="1:9" x14ac:dyDescent="0.2">
      <c r="A24" t="s">
        <v>8</v>
      </c>
      <c r="B24">
        <v>54.780395976583002</v>
      </c>
      <c r="C24">
        <v>361.11234767009699</v>
      </c>
      <c r="D24">
        <v>88.436615779542606</v>
      </c>
      <c r="E24">
        <v>1</v>
      </c>
      <c r="F24">
        <v>1958.23168945312</v>
      </c>
      <c r="G24">
        <v>1966.3287952549399</v>
      </c>
      <c r="H24">
        <f t="shared" si="0"/>
        <v>8.0971058018199074</v>
      </c>
      <c r="I24">
        <f t="shared" si="1"/>
        <v>4.1178798893448006E-3</v>
      </c>
    </row>
    <row r="25" spans="1:9" x14ac:dyDescent="0.2">
      <c r="A25" t="s">
        <v>8</v>
      </c>
      <c r="B25">
        <v>20.409633029386701</v>
      </c>
      <c r="C25">
        <v>369.127887340624</v>
      </c>
      <c r="D25">
        <v>49.711567828965499</v>
      </c>
      <c r="E25">
        <v>1</v>
      </c>
      <c r="F25">
        <v>1154.41552734375</v>
      </c>
      <c r="G25">
        <v>1113.82128417186</v>
      </c>
      <c r="H25">
        <f t="shared" si="0"/>
        <v>40.594243171889957</v>
      </c>
      <c r="I25">
        <f t="shared" si="1"/>
        <v>3.6445921575356033E-2</v>
      </c>
    </row>
    <row r="26" spans="1:9" x14ac:dyDescent="0.2">
      <c r="A26" t="s">
        <v>8</v>
      </c>
      <c r="B26">
        <v>37.701015000577598</v>
      </c>
      <c r="C26">
        <v>384.42980286843198</v>
      </c>
      <c r="D26">
        <v>67.3767476655877</v>
      </c>
      <c r="E26">
        <v>1</v>
      </c>
      <c r="F26">
        <v>1706.04272460937</v>
      </c>
      <c r="G26">
        <v>1668.9739700084399</v>
      </c>
      <c r="H26">
        <f t="shared" si="0"/>
        <v>37.068754600930106</v>
      </c>
      <c r="I26">
        <f t="shared" si="1"/>
        <v>2.2210504937199619E-2</v>
      </c>
    </row>
    <row r="27" spans="1:9" x14ac:dyDescent="0.2">
      <c r="A27" t="s">
        <v>8</v>
      </c>
      <c r="B27">
        <v>56.285506352571602</v>
      </c>
      <c r="C27">
        <v>390.62030779317598</v>
      </c>
      <c r="D27">
        <v>39.0800536190212</v>
      </c>
      <c r="E27">
        <v>1</v>
      </c>
      <c r="F27">
        <v>4058.54565429687</v>
      </c>
      <c r="G27">
        <v>5440.8292812948903</v>
      </c>
      <c r="H27">
        <f t="shared" si="0"/>
        <v>1382.2836269980203</v>
      </c>
      <c r="I27">
        <f t="shared" si="1"/>
        <v>0.25405752607423177</v>
      </c>
    </row>
    <row r="28" spans="1:9" x14ac:dyDescent="0.2">
      <c r="A28" t="s">
        <v>8</v>
      </c>
      <c r="B28">
        <v>85.028936305998499</v>
      </c>
      <c r="C28">
        <v>366.60744718659203</v>
      </c>
      <c r="D28">
        <v>95.698816698352303</v>
      </c>
      <c r="E28">
        <v>1</v>
      </c>
      <c r="F28">
        <v>2688.2646484375</v>
      </c>
      <c r="G28">
        <v>2541.3704190163198</v>
      </c>
      <c r="H28">
        <f t="shared" si="0"/>
        <v>146.89422942118017</v>
      </c>
      <c r="I28">
        <f t="shared" si="1"/>
        <v>5.7801188021240152E-2</v>
      </c>
    </row>
    <row r="29" spans="1:9" x14ac:dyDescent="0.2">
      <c r="A29" t="s">
        <v>8</v>
      </c>
      <c r="B29">
        <v>19.7594844154148</v>
      </c>
      <c r="C29">
        <v>344.55027071236901</v>
      </c>
      <c r="D29">
        <v>77.735539257720404</v>
      </c>
      <c r="E29">
        <v>1</v>
      </c>
      <c r="F29">
        <v>717.27996826171795</v>
      </c>
      <c r="G29">
        <v>716.24213623636001</v>
      </c>
      <c r="H29">
        <f t="shared" si="0"/>
        <v>1.0378320253579432</v>
      </c>
      <c r="I29">
        <f t="shared" si="1"/>
        <v>1.4489960487544654E-3</v>
      </c>
    </row>
    <row r="30" spans="1:9" x14ac:dyDescent="0.2">
      <c r="A30" t="s">
        <v>8</v>
      </c>
      <c r="B30">
        <v>78.267053141685906</v>
      </c>
      <c r="C30">
        <v>336.69616576203703</v>
      </c>
      <c r="D30">
        <v>4.3571851044003997</v>
      </c>
      <c r="E30">
        <v>1</v>
      </c>
      <c r="F30">
        <v>42667.82421875</v>
      </c>
      <c r="G30">
        <v>42659.954129404403</v>
      </c>
      <c r="H30">
        <f t="shared" si="0"/>
        <v>7.87008934559708</v>
      </c>
      <c r="I30">
        <f t="shared" si="1"/>
        <v>1.8448424303795562E-4</v>
      </c>
    </row>
    <row r="31" spans="1:9" x14ac:dyDescent="0.2">
      <c r="A31" t="s">
        <v>8</v>
      </c>
      <c r="B31">
        <v>43.095718104348002</v>
      </c>
      <c r="C31">
        <v>342.17038899805402</v>
      </c>
      <c r="D31">
        <v>62.111742026329601</v>
      </c>
      <c r="E31">
        <v>1</v>
      </c>
      <c r="F31">
        <v>1831.513671875</v>
      </c>
      <c r="G31">
        <v>1814.0298683445801</v>
      </c>
      <c r="H31">
        <f t="shared" si="0"/>
        <v>17.483803530419891</v>
      </c>
      <c r="I31">
        <f t="shared" si="1"/>
        <v>9.6381012438207514E-3</v>
      </c>
    </row>
    <row r="32" spans="1:9" x14ac:dyDescent="0.2">
      <c r="A32" t="s">
        <v>9</v>
      </c>
      <c r="B32">
        <v>48.519097443163503</v>
      </c>
      <c r="C32">
        <v>372.64736103123698</v>
      </c>
      <c r="D32">
        <v>15.4353632547404</v>
      </c>
      <c r="E32">
        <v>1</v>
      </c>
      <c r="F32">
        <v>9088.2255859375</v>
      </c>
      <c r="G32">
        <v>9738.7659604047003</v>
      </c>
      <c r="H32">
        <v>650.54037446720201</v>
      </c>
      <c r="I32">
        <v>6.6799056175302907E-2</v>
      </c>
    </row>
    <row r="33" spans="1:9" x14ac:dyDescent="0.2">
      <c r="A33" t="s">
        <v>9</v>
      </c>
      <c r="B33">
        <v>98.073719980123798</v>
      </c>
      <c r="C33">
        <v>336.50072635085502</v>
      </c>
      <c r="D33">
        <v>51.030324973868503</v>
      </c>
      <c r="E33">
        <v>1</v>
      </c>
      <c r="F33">
        <v>4613.029296875</v>
      </c>
      <c r="G33">
        <v>5376.7561525297197</v>
      </c>
      <c r="H33">
        <v>763.72685565472602</v>
      </c>
      <c r="I33">
        <v>0.14204230840846199</v>
      </c>
    </row>
    <row r="34" spans="1:9" x14ac:dyDescent="0.2">
      <c r="A34" t="s">
        <v>9</v>
      </c>
      <c r="B34">
        <v>96.165719366378596</v>
      </c>
      <c r="C34">
        <v>344.839630934448</v>
      </c>
      <c r="D34">
        <v>14.4002875019257</v>
      </c>
      <c r="E34">
        <v>1</v>
      </c>
      <c r="F34">
        <v>32156.474609375</v>
      </c>
      <c r="G34">
        <v>19145.923248463801</v>
      </c>
      <c r="H34">
        <v>13010.5513609111</v>
      </c>
      <c r="I34">
        <v>0.67954682529895705</v>
      </c>
    </row>
    <row r="35" spans="1:9" x14ac:dyDescent="0.2">
      <c r="A35" t="s">
        <v>9</v>
      </c>
      <c r="B35">
        <v>72.478994077353306</v>
      </c>
      <c r="C35">
        <v>336.76995696900002</v>
      </c>
      <c r="D35">
        <v>71.737172610623404</v>
      </c>
      <c r="E35">
        <v>1</v>
      </c>
      <c r="F35">
        <v>2918.95385742187</v>
      </c>
      <c r="G35">
        <v>2828.8587510577399</v>
      </c>
      <c r="H35">
        <v>90.095106364130004</v>
      </c>
      <c r="I35">
        <v>3.1848570145272301E-2</v>
      </c>
    </row>
    <row r="36" spans="1:9" x14ac:dyDescent="0.2">
      <c r="A36" t="s">
        <v>9</v>
      </c>
      <c r="B36">
        <v>54.122685554743398</v>
      </c>
      <c r="C36">
        <v>310.973466400669</v>
      </c>
      <c r="D36">
        <v>27.631301409515199</v>
      </c>
      <c r="E36">
        <v>1</v>
      </c>
      <c r="F36">
        <v>3671.11547851562</v>
      </c>
      <c r="G36">
        <v>5064.2058742872096</v>
      </c>
      <c r="H36">
        <v>1393.09039577159</v>
      </c>
      <c r="I36">
        <v>0.275085656143011</v>
      </c>
    </row>
    <row r="37" spans="1:9" x14ac:dyDescent="0.2">
      <c r="A37" t="s">
        <v>9</v>
      </c>
      <c r="B37">
        <v>27.689120404537</v>
      </c>
      <c r="C37">
        <v>320.32415440873899</v>
      </c>
      <c r="D37">
        <v>13.4133975121783</v>
      </c>
      <c r="E37">
        <v>1</v>
      </c>
      <c r="F37">
        <v>4006.3681640625</v>
      </c>
      <c r="G37">
        <v>5497.5612042646198</v>
      </c>
      <c r="H37">
        <v>1491.1930402021201</v>
      </c>
      <c r="I37">
        <v>0.27124628263262601</v>
      </c>
    </row>
    <row r="38" spans="1:9" x14ac:dyDescent="0.2">
      <c r="A38" t="s">
        <v>9</v>
      </c>
      <c r="B38">
        <v>16.065200877512599</v>
      </c>
      <c r="C38">
        <v>328.38064889441301</v>
      </c>
      <c r="D38">
        <v>4.5987180670515597</v>
      </c>
      <c r="E38">
        <v>1</v>
      </c>
      <c r="F38">
        <v>8387.3916015625</v>
      </c>
      <c r="G38">
        <v>9537.5527293871291</v>
      </c>
      <c r="H38">
        <v>1150.1611278246301</v>
      </c>
      <c r="I38">
        <v>0.12059289845714299</v>
      </c>
    </row>
    <row r="39" spans="1:9" x14ac:dyDescent="0.2">
      <c r="A39" t="s">
        <v>9</v>
      </c>
      <c r="B39">
        <v>96.992541321613203</v>
      </c>
      <c r="C39">
        <v>331.41338956022997</v>
      </c>
      <c r="D39">
        <v>17.483553789762301</v>
      </c>
      <c r="E39">
        <v>1</v>
      </c>
      <c r="F39">
        <v>24854.083984375</v>
      </c>
      <c r="G39">
        <v>15285.8183814391</v>
      </c>
      <c r="H39">
        <v>9568.2656029358404</v>
      </c>
      <c r="I39">
        <v>0.62595703835877903</v>
      </c>
    </row>
    <row r="40" spans="1:9" x14ac:dyDescent="0.2">
      <c r="A40" t="s">
        <v>9</v>
      </c>
      <c r="B40">
        <v>51.606858554787799</v>
      </c>
      <c r="C40">
        <v>331.30478588199298</v>
      </c>
      <c r="D40">
        <v>19.179871672356601</v>
      </c>
      <c r="E40">
        <v>1</v>
      </c>
      <c r="F40">
        <v>5267.83740234375</v>
      </c>
      <c r="G40">
        <v>7411.3863936512498</v>
      </c>
      <c r="H40">
        <v>2143.5489913074998</v>
      </c>
      <c r="I40">
        <v>0.28922375348608298</v>
      </c>
    </row>
    <row r="41" spans="1:9" x14ac:dyDescent="0.2">
      <c r="A41" t="s">
        <v>9</v>
      </c>
      <c r="B41">
        <v>11.586561247077</v>
      </c>
      <c r="C41">
        <v>357.66997162529498</v>
      </c>
      <c r="D41">
        <v>53.697207957179202</v>
      </c>
      <c r="E41">
        <v>1</v>
      </c>
      <c r="F41">
        <v>751.175537109375</v>
      </c>
      <c r="G41">
        <v>641.64580228245302</v>
      </c>
      <c r="H41">
        <v>109.529734826921</v>
      </c>
      <c r="I41">
        <v>0.17070124114784799</v>
      </c>
    </row>
    <row r="42" spans="1:9" x14ac:dyDescent="0.2">
      <c r="A42" t="s">
        <v>9</v>
      </c>
      <c r="B42">
        <v>62.348975553750002</v>
      </c>
      <c r="C42">
        <v>397.168997561975</v>
      </c>
      <c r="D42">
        <v>45.103888617139098</v>
      </c>
      <c r="E42">
        <v>1</v>
      </c>
      <c r="F42">
        <v>3819.8583984375</v>
      </c>
      <c r="G42">
        <v>4564.5786744193201</v>
      </c>
      <c r="H42">
        <v>744.72027598182103</v>
      </c>
      <c r="I42">
        <v>0.16315202981501001</v>
      </c>
    </row>
    <row r="43" spans="1:9" x14ac:dyDescent="0.2">
      <c r="A43" t="s">
        <v>9</v>
      </c>
      <c r="B43">
        <v>77.668311434229693</v>
      </c>
      <c r="C43">
        <v>377.46641349237302</v>
      </c>
      <c r="D43">
        <v>95.729436725353693</v>
      </c>
      <c r="E43">
        <v>1</v>
      </c>
      <c r="F43">
        <v>2734.55883789062</v>
      </c>
      <c r="G43">
        <v>2546.1658838038202</v>
      </c>
      <c r="H43">
        <v>188.39295408679999</v>
      </c>
      <c r="I43">
        <v>7.3990840614576101E-2</v>
      </c>
    </row>
    <row r="44" spans="1:9" x14ac:dyDescent="0.2">
      <c r="A44" t="s">
        <v>9</v>
      </c>
      <c r="B44">
        <v>61.300330105303999</v>
      </c>
      <c r="C44">
        <v>379.11339481727998</v>
      </c>
      <c r="D44">
        <v>95.415133686664205</v>
      </c>
      <c r="E44">
        <v>1</v>
      </c>
      <c r="F44">
        <v>2158.39599609375</v>
      </c>
      <c r="G44">
        <v>2024.99847009622</v>
      </c>
      <c r="H44">
        <v>133.397525997527</v>
      </c>
      <c r="I44">
        <v>6.5875371249633094E-2</v>
      </c>
    </row>
    <row r="45" spans="1:9" x14ac:dyDescent="0.2">
      <c r="A45" t="s">
        <v>9</v>
      </c>
      <c r="B45">
        <v>91.729770479090206</v>
      </c>
      <c r="C45">
        <v>375.92685005395799</v>
      </c>
      <c r="D45">
        <v>79.654611046843002</v>
      </c>
      <c r="E45">
        <v>1</v>
      </c>
      <c r="F45">
        <v>3795.1640625</v>
      </c>
      <c r="G45">
        <v>3599.2561169313999</v>
      </c>
      <c r="H45">
        <v>195.907945568592</v>
      </c>
      <c r="I45">
        <v>5.4430120892762703E-2</v>
      </c>
    </row>
    <row r="46" spans="1:9" x14ac:dyDescent="0.2">
      <c r="A46" t="s">
        <v>9</v>
      </c>
      <c r="B46">
        <v>3.9592876664202801</v>
      </c>
      <c r="C46">
        <v>359.69877305237497</v>
      </c>
      <c r="D46">
        <v>67.158763398070306</v>
      </c>
      <c r="E46">
        <v>1</v>
      </c>
      <c r="F46">
        <v>213.33660888671801</v>
      </c>
      <c r="G46">
        <v>176.304477846819</v>
      </c>
      <c r="H46">
        <v>37.032131039898999</v>
      </c>
      <c r="I46">
        <v>0.210046457651937</v>
      </c>
    </row>
    <row r="47" spans="1:9" x14ac:dyDescent="0.2">
      <c r="A47" t="s">
        <v>9</v>
      </c>
      <c r="B47">
        <v>52.858926326002099</v>
      </c>
      <c r="C47">
        <v>391.76922571709099</v>
      </c>
      <c r="D47">
        <v>84.502309156834599</v>
      </c>
      <c r="E47">
        <v>1</v>
      </c>
      <c r="F47">
        <v>2168.03393554687</v>
      </c>
      <c r="G47">
        <v>2037.4647276548301</v>
      </c>
      <c r="H47">
        <v>130.569207892035</v>
      </c>
      <c r="I47">
        <v>6.4084156216202601E-2</v>
      </c>
    </row>
    <row r="48" spans="1:9" x14ac:dyDescent="0.2">
      <c r="A48" t="s">
        <v>9</v>
      </c>
      <c r="B48">
        <v>45.9335882885403</v>
      </c>
      <c r="C48">
        <v>368.96301554470801</v>
      </c>
      <c r="D48">
        <v>93.875182847988398</v>
      </c>
      <c r="E48">
        <v>1</v>
      </c>
      <c r="F48">
        <v>1538.37915039062</v>
      </c>
      <c r="G48">
        <v>1500.9714541319299</v>
      </c>
      <c r="H48">
        <v>37.407696258690699</v>
      </c>
      <c r="I48">
        <v>2.4922323576316699E-2</v>
      </c>
    </row>
    <row r="49" spans="1:9" x14ac:dyDescent="0.2">
      <c r="A49" t="s">
        <v>9</v>
      </c>
      <c r="B49">
        <v>6.23495791498756</v>
      </c>
      <c r="C49">
        <v>350.03564307368703</v>
      </c>
      <c r="D49">
        <v>2.2617728887002699</v>
      </c>
      <c r="E49">
        <v>1</v>
      </c>
      <c r="F49">
        <v>8755.5771484375</v>
      </c>
      <c r="G49">
        <v>8022.4463619540002</v>
      </c>
      <c r="H49">
        <v>733.13078648349597</v>
      </c>
      <c r="I49">
        <v>9.1384940877925605E-2</v>
      </c>
    </row>
    <row r="50" spans="1:9" x14ac:dyDescent="0.2">
      <c r="A50" t="s">
        <v>9</v>
      </c>
      <c r="B50">
        <v>64.132816913937404</v>
      </c>
      <c r="C50">
        <v>307.708380850053</v>
      </c>
      <c r="D50">
        <v>11.810522715085799</v>
      </c>
      <c r="E50">
        <v>1</v>
      </c>
      <c r="F50">
        <v>16365.552734375</v>
      </c>
      <c r="G50">
        <v>13891.8646043552</v>
      </c>
      <c r="H50">
        <v>2473.6881300197801</v>
      </c>
      <c r="I50">
        <v>0.178067394152709</v>
      </c>
    </row>
    <row r="51" spans="1:9" x14ac:dyDescent="0.2">
      <c r="A51" t="s">
        <v>9</v>
      </c>
      <c r="B51">
        <v>85.263283848065598</v>
      </c>
      <c r="C51">
        <v>348.84492270855202</v>
      </c>
      <c r="D51">
        <v>36.026388468364303</v>
      </c>
      <c r="E51">
        <v>1</v>
      </c>
      <c r="F51">
        <v>5751.29833984375</v>
      </c>
      <c r="G51">
        <v>6864.1024042264999</v>
      </c>
      <c r="H51">
        <v>1112.8040643827501</v>
      </c>
      <c r="I51">
        <v>0.16211938558748101</v>
      </c>
    </row>
    <row r="52" spans="1:9" x14ac:dyDescent="0.2">
      <c r="A52" t="s">
        <v>9</v>
      </c>
      <c r="B52">
        <v>59.294101810428401</v>
      </c>
      <c r="C52">
        <v>321.283099534033</v>
      </c>
      <c r="D52">
        <v>9.3586853042599696</v>
      </c>
      <c r="E52">
        <v>1</v>
      </c>
      <c r="F52">
        <v>18993.330078125</v>
      </c>
      <c r="G52">
        <v>16923.6701421457</v>
      </c>
      <c r="H52">
        <v>2069.6599359792699</v>
      </c>
      <c r="I52">
        <v>0.12229380025702</v>
      </c>
    </row>
    <row r="53" spans="1:9" x14ac:dyDescent="0.2">
      <c r="A53" t="s">
        <v>9</v>
      </c>
      <c r="B53">
        <v>26.0097447737223</v>
      </c>
      <c r="C53">
        <v>313.26962975467802</v>
      </c>
      <c r="D53">
        <v>59.952447305327702</v>
      </c>
      <c r="E53">
        <v>1</v>
      </c>
      <c r="F53">
        <v>1002.7056274414</v>
      </c>
      <c r="G53">
        <v>1129.94547821234</v>
      </c>
      <c r="H53">
        <v>127.239850770933</v>
      </c>
      <c r="I53">
        <v>0.11260707107057601</v>
      </c>
    </row>
    <row r="54" spans="1:9" x14ac:dyDescent="0.2">
      <c r="A54" t="s">
        <v>9</v>
      </c>
      <c r="B54">
        <v>83.988152103140806</v>
      </c>
      <c r="C54">
        <v>350.60649225293702</v>
      </c>
      <c r="D54">
        <v>26.0364222348108</v>
      </c>
      <c r="E54">
        <v>1</v>
      </c>
      <c r="F54">
        <v>7752.59326171875</v>
      </c>
      <c r="G54">
        <v>9403.0055853711892</v>
      </c>
      <c r="H54">
        <v>1650.4123236524399</v>
      </c>
      <c r="I54">
        <v>0.175519657908114</v>
      </c>
    </row>
    <row r="55" spans="1:9" x14ac:dyDescent="0.2">
      <c r="A55" t="s">
        <v>9</v>
      </c>
      <c r="B55">
        <v>50.949588152150902</v>
      </c>
      <c r="C55">
        <v>378.50852925969502</v>
      </c>
      <c r="D55">
        <v>26.433972913232498</v>
      </c>
      <c r="E55">
        <v>1</v>
      </c>
      <c r="F55">
        <v>5300.15966796875</v>
      </c>
      <c r="G55">
        <v>6065.4625774186497</v>
      </c>
      <c r="H55">
        <v>765.30290944990395</v>
      </c>
      <c r="I55">
        <v>0.126173873745273</v>
      </c>
    </row>
    <row r="56" spans="1:9" x14ac:dyDescent="0.2">
      <c r="A56" t="s">
        <v>9</v>
      </c>
      <c r="B56">
        <v>51.0888884466533</v>
      </c>
      <c r="C56">
        <v>329.500644280551</v>
      </c>
      <c r="D56">
        <v>28.832798864786501</v>
      </c>
      <c r="E56">
        <v>1</v>
      </c>
      <c r="F56">
        <v>3717.18505859375</v>
      </c>
      <c r="G56">
        <v>4854.0689347287698</v>
      </c>
      <c r="H56">
        <v>1136.88387613502</v>
      </c>
      <c r="I56">
        <v>0.234212552689787</v>
      </c>
    </row>
    <row r="57" spans="1:9" x14ac:dyDescent="0.2">
      <c r="A57" t="s">
        <v>9</v>
      </c>
      <c r="B57">
        <v>75.303020770217699</v>
      </c>
      <c r="C57">
        <v>376.87717599091599</v>
      </c>
      <c r="D57">
        <v>9.7715657584389994</v>
      </c>
      <c r="E57">
        <v>1</v>
      </c>
      <c r="F57">
        <v>31929.337890625</v>
      </c>
      <c r="G57">
        <v>24146.717232982399</v>
      </c>
      <c r="H57">
        <v>7782.6206576425702</v>
      </c>
      <c r="I57">
        <v>0.32230553671337703</v>
      </c>
    </row>
    <row r="58" spans="1:9" x14ac:dyDescent="0.2">
      <c r="A58" t="s">
        <v>9</v>
      </c>
      <c r="B58">
        <v>14.792203578495601</v>
      </c>
      <c r="C58">
        <v>352.56295231622499</v>
      </c>
      <c r="D58">
        <v>74.094445323815805</v>
      </c>
      <c r="E58">
        <v>1</v>
      </c>
      <c r="F58">
        <v>635.71105957031205</v>
      </c>
      <c r="G58">
        <v>585.18598770341896</v>
      </c>
      <c r="H58">
        <v>50.525071866893498</v>
      </c>
      <c r="I58">
        <v>8.6340194277687299E-2</v>
      </c>
    </row>
    <row r="59" spans="1:9" x14ac:dyDescent="0.2">
      <c r="A59" t="s">
        <v>9</v>
      </c>
      <c r="B59">
        <v>81.9626719119277</v>
      </c>
      <c r="C59">
        <v>314.90480233707098</v>
      </c>
      <c r="D59">
        <v>65.067242959965</v>
      </c>
      <c r="E59">
        <v>1</v>
      </c>
      <c r="F59">
        <v>3008.49584960937</v>
      </c>
      <c r="G59">
        <v>3297.94194533155</v>
      </c>
      <c r="H59">
        <v>289.446095722179</v>
      </c>
      <c r="I59">
        <v>8.7765673416995205E-2</v>
      </c>
    </row>
    <row r="60" spans="1:9" x14ac:dyDescent="0.2">
      <c r="A60" t="s">
        <v>9</v>
      </c>
      <c r="B60">
        <v>68.3286906003257</v>
      </c>
      <c r="C60">
        <v>396.49677439797301</v>
      </c>
      <c r="D60">
        <v>60.6508090641262</v>
      </c>
      <c r="E60">
        <v>1</v>
      </c>
      <c r="F60">
        <v>3805.05444335937</v>
      </c>
      <c r="G60">
        <v>3713.7800460212402</v>
      </c>
      <c r="H60">
        <v>91.274397338133895</v>
      </c>
      <c r="I60">
        <v>2.4577222185228901E-2</v>
      </c>
    </row>
    <row r="61" spans="1:9" x14ac:dyDescent="0.2">
      <c r="A61" t="s">
        <v>9</v>
      </c>
      <c r="B61">
        <v>78.709694155480094</v>
      </c>
      <c r="C61">
        <v>340.16362238885102</v>
      </c>
      <c r="D61">
        <v>3.4045582277775401</v>
      </c>
      <c r="E61">
        <v>1</v>
      </c>
      <c r="F61">
        <v>45848.890625</v>
      </c>
      <c r="G61">
        <v>65383.0756901266</v>
      </c>
      <c r="H61">
        <v>19534.1850651266</v>
      </c>
      <c r="I61">
        <v>0.29876515992771602</v>
      </c>
    </row>
    <row r="62" spans="1:9" x14ac:dyDescent="0.2">
      <c r="A62" t="s">
        <v>9</v>
      </c>
      <c r="B62">
        <v>19.161625902013501</v>
      </c>
      <c r="C62">
        <v>329.523425566269</v>
      </c>
      <c r="D62">
        <v>42.946414463887699</v>
      </c>
      <c r="E62">
        <v>1</v>
      </c>
      <c r="F62">
        <v>1026.72680664062</v>
      </c>
      <c r="G62">
        <v>1222.3674026113999</v>
      </c>
      <c r="H62">
        <v>195.64059597077701</v>
      </c>
      <c r="I62">
        <v>0.16005056708222101</v>
      </c>
    </row>
    <row r="63" spans="1:9" x14ac:dyDescent="0.2">
      <c r="A63" t="s">
        <v>9</v>
      </c>
      <c r="B63">
        <v>80.236416113453004</v>
      </c>
      <c r="C63">
        <v>384.699837063372</v>
      </c>
      <c r="D63">
        <v>68.520358989984203</v>
      </c>
      <c r="E63">
        <v>1</v>
      </c>
      <c r="F63">
        <v>4217.08740234375</v>
      </c>
      <c r="G63">
        <v>3745.2767526971102</v>
      </c>
      <c r="H63">
        <v>471.81064964663602</v>
      </c>
      <c r="I63">
        <v>0.12597484266199199</v>
      </c>
    </row>
    <row r="64" spans="1:9" x14ac:dyDescent="0.2">
      <c r="A64" t="s">
        <v>9</v>
      </c>
      <c r="B64">
        <v>19.13239260572</v>
      </c>
      <c r="C64">
        <v>312.44603325154799</v>
      </c>
      <c r="D64">
        <v>15.634664990358599</v>
      </c>
      <c r="E64">
        <v>1</v>
      </c>
      <c r="F64">
        <v>2939.4755859375</v>
      </c>
      <c r="G64">
        <v>3178.8185583857498</v>
      </c>
      <c r="H64">
        <v>239.34297244825299</v>
      </c>
      <c r="I64">
        <v>7.5293058742489302E-2</v>
      </c>
    </row>
    <row r="65" spans="1:9" x14ac:dyDescent="0.2">
      <c r="A65" t="s">
        <v>9</v>
      </c>
      <c r="B65">
        <v>8.1552617363512692</v>
      </c>
      <c r="C65">
        <v>373.35904610736998</v>
      </c>
      <c r="D65">
        <v>38.565784465755002</v>
      </c>
      <c r="E65">
        <v>1</v>
      </c>
      <c r="F65">
        <v>1087.51623535156</v>
      </c>
      <c r="G65">
        <v>656.40583447195002</v>
      </c>
      <c r="H65">
        <v>431.11040087961101</v>
      </c>
      <c r="I65">
        <v>0.65677417572989905</v>
      </c>
    </row>
    <row r="66" spans="1:9" x14ac:dyDescent="0.2">
      <c r="A66" t="s">
        <v>9</v>
      </c>
      <c r="B66">
        <v>85.522697428707005</v>
      </c>
      <c r="C66">
        <v>318.78247425654598</v>
      </c>
      <c r="D66">
        <v>1.9834145469936799</v>
      </c>
      <c r="E66">
        <v>1</v>
      </c>
      <c r="F66">
        <v>52645.5078125</v>
      </c>
      <c r="G66">
        <v>114280.558303661</v>
      </c>
      <c r="H66">
        <v>61635.050491161601</v>
      </c>
      <c r="I66">
        <v>0.53933102363209895</v>
      </c>
    </row>
    <row r="67" spans="1:9" x14ac:dyDescent="0.2">
      <c r="A67" t="s">
        <v>9</v>
      </c>
      <c r="B67">
        <v>86.128349617766801</v>
      </c>
      <c r="C67">
        <v>339.249177601258</v>
      </c>
      <c r="D67">
        <v>8.1857997077242004</v>
      </c>
      <c r="E67">
        <v>1</v>
      </c>
      <c r="F67">
        <v>39166.0234375</v>
      </c>
      <c r="G67">
        <v>29676.5789561499</v>
      </c>
      <c r="H67">
        <v>9489.4444813500704</v>
      </c>
      <c r="I67">
        <v>0.31976207551994601</v>
      </c>
    </row>
    <row r="68" spans="1:9" x14ac:dyDescent="0.2">
      <c r="A68" t="s">
        <v>9</v>
      </c>
      <c r="B68">
        <v>87.653709641657997</v>
      </c>
      <c r="C68">
        <v>323.189987846213</v>
      </c>
      <c r="D68">
        <v>21.645357999905301</v>
      </c>
      <c r="E68">
        <v>1</v>
      </c>
      <c r="F68">
        <v>13027.3408203125</v>
      </c>
      <c r="G68">
        <v>10881.116147684599</v>
      </c>
      <c r="H68">
        <v>2146.2246726278399</v>
      </c>
      <c r="I68">
        <v>0.19724306252208601</v>
      </c>
    </row>
    <row r="69" spans="1:9" x14ac:dyDescent="0.2">
      <c r="A69" t="s">
        <v>9</v>
      </c>
      <c r="B69">
        <v>47.190971935878999</v>
      </c>
      <c r="C69">
        <v>384.12279926923799</v>
      </c>
      <c r="D69">
        <v>41.465016114124801</v>
      </c>
      <c r="E69">
        <v>1</v>
      </c>
      <c r="F69">
        <v>2970.64038085937</v>
      </c>
      <c r="G69">
        <v>3634.6047418528801</v>
      </c>
      <c r="H69">
        <v>663.96436099351399</v>
      </c>
      <c r="I69">
        <v>0.18267856016030801</v>
      </c>
    </row>
    <row r="70" spans="1:9" x14ac:dyDescent="0.2">
      <c r="A70" t="s">
        <v>9</v>
      </c>
      <c r="B70">
        <v>27.4048388613718</v>
      </c>
      <c r="C70">
        <v>339.007455193986</v>
      </c>
      <c r="D70">
        <v>46.324003628737898</v>
      </c>
      <c r="E70">
        <v>1</v>
      </c>
      <c r="F70">
        <v>1354.70861816406</v>
      </c>
      <c r="G70">
        <v>1667.4024488140999</v>
      </c>
      <c r="H70">
        <v>312.69383065004598</v>
      </c>
      <c r="I70">
        <v>0.18753350810564101</v>
      </c>
    </row>
    <row r="71" spans="1:9" x14ac:dyDescent="0.2">
      <c r="A71" t="s">
        <v>9</v>
      </c>
      <c r="B71">
        <v>0.70918286031662603</v>
      </c>
      <c r="C71">
        <v>397.46928128822799</v>
      </c>
      <c r="D71">
        <v>88.452153161811296</v>
      </c>
      <c r="E71">
        <v>1</v>
      </c>
      <c r="F71">
        <v>53.082759857177699</v>
      </c>
      <c r="G71">
        <v>26.494968734241301</v>
      </c>
      <c r="H71">
        <v>26.587791122936299</v>
      </c>
      <c r="I71">
        <v>1.00350339680057</v>
      </c>
    </row>
    <row r="72" spans="1:9" x14ac:dyDescent="0.2">
      <c r="A72" t="s">
        <v>9</v>
      </c>
      <c r="B72">
        <v>64.572089557494706</v>
      </c>
      <c r="C72">
        <v>362.52614844150997</v>
      </c>
      <c r="D72">
        <v>31.6658442174013</v>
      </c>
      <c r="E72">
        <v>1</v>
      </c>
      <c r="F72">
        <v>5126.09716796875</v>
      </c>
      <c r="G72">
        <v>6146.14959660563</v>
      </c>
      <c r="H72">
        <v>1020.05242863688</v>
      </c>
      <c r="I72">
        <v>0.165966091876487</v>
      </c>
    </row>
    <row r="73" spans="1:9" x14ac:dyDescent="0.2">
      <c r="A73" t="s">
        <v>9</v>
      </c>
      <c r="B73">
        <v>71.9909383508693</v>
      </c>
      <c r="C73">
        <v>369.362283470291</v>
      </c>
      <c r="D73">
        <v>2.1463876277191298</v>
      </c>
      <c r="E73">
        <v>1</v>
      </c>
      <c r="F73">
        <v>47302.4609375</v>
      </c>
      <c r="G73">
        <v>102998.81890361301</v>
      </c>
      <c r="H73">
        <v>55696.357966113697</v>
      </c>
      <c r="I73">
        <v>0.54074754020465399</v>
      </c>
    </row>
    <row r="74" spans="1:9" x14ac:dyDescent="0.2">
      <c r="A74" t="s">
        <v>9</v>
      </c>
      <c r="B74">
        <v>83.556921650027405</v>
      </c>
      <c r="C74">
        <v>352.15251221324098</v>
      </c>
      <c r="D74">
        <v>82.622334677116498</v>
      </c>
      <c r="E74">
        <v>1</v>
      </c>
      <c r="F74">
        <v>2965.60229492187</v>
      </c>
      <c r="G74">
        <v>2960.9139079728502</v>
      </c>
      <c r="H74">
        <v>4.6883869490220604</v>
      </c>
      <c r="I74">
        <v>1.5834256228786699E-3</v>
      </c>
    </row>
    <row r="75" spans="1:9" x14ac:dyDescent="0.2">
      <c r="A75" t="s">
        <v>9</v>
      </c>
      <c r="B75">
        <v>28.187782736454199</v>
      </c>
      <c r="C75">
        <v>330.89681990755901</v>
      </c>
      <c r="D75">
        <v>6.18469353735727</v>
      </c>
      <c r="E75">
        <v>1</v>
      </c>
      <c r="F75">
        <v>10886.361328125</v>
      </c>
      <c r="G75">
        <v>12538.493078301901</v>
      </c>
      <c r="H75">
        <v>1652.1317501769099</v>
      </c>
      <c r="I75">
        <v>0.131764777462449</v>
      </c>
    </row>
    <row r="76" spans="1:9" x14ac:dyDescent="0.2">
      <c r="A76" t="s">
        <v>9</v>
      </c>
      <c r="B76">
        <v>21.521816716297302</v>
      </c>
      <c r="C76">
        <v>339.55564210524199</v>
      </c>
      <c r="D76">
        <v>9.2991992662228302</v>
      </c>
      <c r="E76">
        <v>1</v>
      </c>
      <c r="F76">
        <v>5688.3828125</v>
      </c>
      <c r="G76">
        <v>6533.6271289626302</v>
      </c>
      <c r="H76">
        <v>845.24431646263304</v>
      </c>
      <c r="I76">
        <v>0.129368312543546</v>
      </c>
    </row>
    <row r="77" spans="1:9" x14ac:dyDescent="0.2">
      <c r="A77" t="s">
        <v>9</v>
      </c>
      <c r="B77">
        <v>63.933138006658702</v>
      </c>
      <c r="C77">
        <v>394.09341876618998</v>
      </c>
      <c r="D77">
        <v>96.318171673973495</v>
      </c>
      <c r="E77">
        <v>1</v>
      </c>
      <c r="F77">
        <v>2395.51342773437</v>
      </c>
      <c r="G77">
        <v>2174.8384056632099</v>
      </c>
      <c r="H77">
        <v>220.67502207116499</v>
      </c>
      <c r="I77">
        <v>0.101467318903572</v>
      </c>
    </row>
    <row r="78" spans="1:9" x14ac:dyDescent="0.2">
      <c r="A78" t="s">
        <v>9</v>
      </c>
      <c r="B78">
        <v>80.505483314500907</v>
      </c>
      <c r="C78">
        <v>320.12032007246597</v>
      </c>
      <c r="D78">
        <v>75.336541812835804</v>
      </c>
      <c r="E78">
        <v>1</v>
      </c>
      <c r="F78">
        <v>2618.74780273437</v>
      </c>
      <c r="G78">
        <v>2844.0880883967202</v>
      </c>
      <c r="H78">
        <v>225.34028566235199</v>
      </c>
      <c r="I78">
        <v>7.9231120365677907E-2</v>
      </c>
    </row>
    <row r="79" spans="1:9" x14ac:dyDescent="0.2">
      <c r="A79" t="s">
        <v>9</v>
      </c>
      <c r="B79">
        <v>96.367087284497003</v>
      </c>
      <c r="C79">
        <v>398.82189012202099</v>
      </c>
      <c r="D79">
        <v>33.785420277925503</v>
      </c>
      <c r="E79">
        <v>1</v>
      </c>
      <c r="F79">
        <v>8857.869140625</v>
      </c>
      <c r="G79">
        <v>9457.7627262220794</v>
      </c>
      <c r="H79">
        <v>599.89358559708103</v>
      </c>
      <c r="I79">
        <v>6.3428699044632206E-2</v>
      </c>
    </row>
    <row r="80" spans="1:9" x14ac:dyDescent="0.2">
      <c r="A80" t="s">
        <v>9</v>
      </c>
      <c r="B80">
        <v>15.0524830421177</v>
      </c>
      <c r="C80">
        <v>375.83058620038099</v>
      </c>
      <c r="D80">
        <v>13.2178841619195</v>
      </c>
      <c r="E80">
        <v>1</v>
      </c>
      <c r="F80">
        <v>4372.96484375</v>
      </c>
      <c r="G80">
        <v>3558.3474067983402</v>
      </c>
      <c r="H80">
        <v>814.61743695165899</v>
      </c>
      <c r="I80">
        <v>0.22893139534248499</v>
      </c>
    </row>
    <row r="81" spans="1:9" x14ac:dyDescent="0.2">
      <c r="A81" t="s">
        <v>9</v>
      </c>
      <c r="B81">
        <v>48.221238819933603</v>
      </c>
      <c r="C81">
        <v>335.97869264926101</v>
      </c>
      <c r="D81">
        <v>38.6730573171861</v>
      </c>
      <c r="E81">
        <v>1</v>
      </c>
      <c r="F81">
        <v>2569.46728515625</v>
      </c>
      <c r="G81">
        <v>3482.9850679842998</v>
      </c>
      <c r="H81">
        <v>913.51778282805697</v>
      </c>
      <c r="I81">
        <v>0.26228013184010901</v>
      </c>
    </row>
    <row r="82" spans="1:9" x14ac:dyDescent="0.2">
      <c r="A82" t="s">
        <v>9</v>
      </c>
      <c r="B82">
        <v>89.471586219617294</v>
      </c>
      <c r="C82">
        <v>364.15135895056</v>
      </c>
      <c r="D82">
        <v>33.919489278017302</v>
      </c>
      <c r="E82">
        <v>1</v>
      </c>
      <c r="F82">
        <v>6973.83544921875</v>
      </c>
      <c r="G82">
        <v>7985.9720812179503</v>
      </c>
      <c r="H82">
        <v>1012.1366319991999</v>
      </c>
      <c r="I82">
        <v>0.12673931510224401</v>
      </c>
    </row>
    <row r="83" spans="1:9" x14ac:dyDescent="0.2">
      <c r="A83" t="s">
        <v>9</v>
      </c>
      <c r="B83">
        <v>42.2716906945437</v>
      </c>
      <c r="C83">
        <v>338.09815392930801</v>
      </c>
      <c r="D83">
        <v>87.444120144247293</v>
      </c>
      <c r="E83">
        <v>1</v>
      </c>
      <c r="F83">
        <v>1346.06652832031</v>
      </c>
      <c r="G83">
        <v>1358.8509599818501</v>
      </c>
      <c r="H83">
        <v>12.784431661537999</v>
      </c>
      <c r="I83">
        <v>9.4082662764640602E-3</v>
      </c>
    </row>
    <row r="84" spans="1:9" x14ac:dyDescent="0.2">
      <c r="A84" t="s">
        <v>9</v>
      </c>
      <c r="B84">
        <v>58.950206208404801</v>
      </c>
      <c r="C84">
        <v>338.14929326399198</v>
      </c>
      <c r="D84">
        <v>41.875301731404001</v>
      </c>
      <c r="E84">
        <v>1</v>
      </c>
      <c r="F84">
        <v>3204.12451171875</v>
      </c>
      <c r="G84">
        <v>3957.7274537201101</v>
      </c>
      <c r="H84">
        <v>753.60294200136195</v>
      </c>
      <c r="I84">
        <v>0.190413046581316</v>
      </c>
    </row>
    <row r="85" spans="1:9" x14ac:dyDescent="0.2">
      <c r="A85" t="s">
        <v>9</v>
      </c>
      <c r="B85">
        <v>2.44906774933632</v>
      </c>
      <c r="C85">
        <v>350.38029501945198</v>
      </c>
      <c r="D85">
        <v>8.2045006015622004</v>
      </c>
      <c r="E85">
        <v>1</v>
      </c>
      <c r="F85">
        <v>3565.14990234375</v>
      </c>
      <c r="G85">
        <v>869.55757407224598</v>
      </c>
      <c r="H85">
        <v>2695.5923282714998</v>
      </c>
      <c r="I85">
        <v>3.0999584255792301</v>
      </c>
    </row>
    <row r="86" spans="1:9" x14ac:dyDescent="0.2">
      <c r="A86" t="s">
        <v>9</v>
      </c>
      <c r="B86">
        <v>67.345988715293799</v>
      </c>
      <c r="C86">
        <v>301.67228216353698</v>
      </c>
      <c r="D86">
        <v>92.680520235858594</v>
      </c>
      <c r="E86">
        <v>1</v>
      </c>
      <c r="F86">
        <v>1440.72802734375</v>
      </c>
      <c r="G86">
        <v>1822.5048773917299</v>
      </c>
      <c r="H86">
        <v>381.77685004798201</v>
      </c>
      <c r="I86">
        <v>0.20947919250255101</v>
      </c>
    </row>
    <row r="87" spans="1:9" x14ac:dyDescent="0.2">
      <c r="A87" t="s">
        <v>9</v>
      </c>
      <c r="B87">
        <v>91.908861963382193</v>
      </c>
      <c r="C87">
        <v>349.357155994339</v>
      </c>
      <c r="D87">
        <v>62.231336371525998</v>
      </c>
      <c r="E87">
        <v>1</v>
      </c>
      <c r="F87">
        <v>4124.30322265625</v>
      </c>
      <c r="G87">
        <v>4289.7099182398597</v>
      </c>
      <c r="H87">
        <v>165.406695583615</v>
      </c>
      <c r="I87">
        <v>3.8558946580584598E-2</v>
      </c>
    </row>
    <row r="88" spans="1:9" x14ac:dyDescent="0.2">
      <c r="A88" t="s">
        <v>9</v>
      </c>
      <c r="B88">
        <v>82.682532955672102</v>
      </c>
      <c r="C88">
        <v>397.159841344688</v>
      </c>
      <c r="D88">
        <v>11.6709856781002</v>
      </c>
      <c r="E88">
        <v>1</v>
      </c>
      <c r="F88">
        <v>34480.140625</v>
      </c>
      <c r="G88">
        <v>23392.7664671969</v>
      </c>
      <c r="H88">
        <v>11087.374157803</v>
      </c>
      <c r="I88">
        <v>0.47396592332722098</v>
      </c>
    </row>
    <row r="89" spans="1:9" x14ac:dyDescent="0.2">
      <c r="A89" t="s">
        <v>9</v>
      </c>
      <c r="B89">
        <v>88.552026670994593</v>
      </c>
      <c r="C89">
        <v>328.54652287855703</v>
      </c>
      <c r="D89">
        <v>11.317416004642199</v>
      </c>
      <c r="E89">
        <v>1</v>
      </c>
      <c r="F89">
        <v>32477.083984375</v>
      </c>
      <c r="G89">
        <v>21372.6375470331</v>
      </c>
      <c r="H89">
        <v>11104.4464373418</v>
      </c>
      <c r="I89">
        <v>0.51956369039174899</v>
      </c>
    </row>
    <row r="90" spans="1:9" x14ac:dyDescent="0.2">
      <c r="A90" t="s">
        <v>9</v>
      </c>
      <c r="B90">
        <v>66.035538052052303</v>
      </c>
      <c r="C90">
        <v>374.821795907661</v>
      </c>
      <c r="D90">
        <v>46.593324116426402</v>
      </c>
      <c r="E90">
        <v>1</v>
      </c>
      <c r="F90">
        <v>3886.97924804687</v>
      </c>
      <c r="G90">
        <v>4416.6082834620402</v>
      </c>
      <c r="H90">
        <v>529.62903541517096</v>
      </c>
      <c r="I90">
        <v>0.11991759318986001</v>
      </c>
    </row>
    <row r="91" spans="1:9" x14ac:dyDescent="0.2">
      <c r="A91" t="s">
        <v>9</v>
      </c>
      <c r="B91">
        <v>24.555226724317698</v>
      </c>
      <c r="C91">
        <v>344.27888900704897</v>
      </c>
      <c r="D91">
        <v>9.2088965689116105</v>
      </c>
      <c r="E91">
        <v>1</v>
      </c>
      <c r="F91">
        <v>6862.603515625</v>
      </c>
      <c r="G91">
        <v>7632.32343647381</v>
      </c>
      <c r="H91">
        <v>769.71992084881401</v>
      </c>
      <c r="I91">
        <v>0.10085001340095499</v>
      </c>
    </row>
    <row r="92" spans="1:9" x14ac:dyDescent="0.2">
      <c r="A92" t="s">
        <v>9</v>
      </c>
      <c r="B92">
        <v>76.851699889625394</v>
      </c>
      <c r="C92">
        <v>320.928104261778</v>
      </c>
      <c r="D92">
        <v>63.1752192202758</v>
      </c>
      <c r="E92">
        <v>1</v>
      </c>
      <c r="F92">
        <v>3099.96240234375</v>
      </c>
      <c r="G92">
        <v>3245.82044449161</v>
      </c>
      <c r="H92">
        <v>145.85804214786501</v>
      </c>
      <c r="I92">
        <v>4.4937187574684602E-2</v>
      </c>
    </row>
    <row r="93" spans="1:9" x14ac:dyDescent="0.2">
      <c r="A93" t="s">
        <v>9</v>
      </c>
      <c r="B93">
        <v>21.167474260751</v>
      </c>
      <c r="C93">
        <v>390.50025708181198</v>
      </c>
      <c r="D93">
        <v>61.638379109490998</v>
      </c>
      <c r="E93">
        <v>1</v>
      </c>
      <c r="F93">
        <v>1116.75500488281</v>
      </c>
      <c r="G93">
        <v>1114.9340397618</v>
      </c>
      <c r="H93">
        <v>1.8209651210045099</v>
      </c>
      <c r="I93">
        <v>1.6332491932828099E-3</v>
      </c>
    </row>
    <row r="94" spans="1:9" x14ac:dyDescent="0.2">
      <c r="A94" t="s">
        <v>9</v>
      </c>
      <c r="B94">
        <v>83.127483466446094</v>
      </c>
      <c r="C94">
        <v>301.68272846802103</v>
      </c>
      <c r="D94">
        <v>3.20813486181537</v>
      </c>
      <c r="E94">
        <v>1</v>
      </c>
      <c r="F94">
        <v>45398.375</v>
      </c>
      <c r="G94">
        <v>64990.8899515187</v>
      </c>
      <c r="H94">
        <v>19592.5149515187</v>
      </c>
      <c r="I94">
        <v>0.30146555872883302</v>
      </c>
    </row>
    <row r="95" spans="1:9" x14ac:dyDescent="0.2">
      <c r="A95" t="s">
        <v>9</v>
      </c>
      <c r="B95">
        <v>6.2717922570768199</v>
      </c>
      <c r="C95">
        <v>330.350892659951</v>
      </c>
      <c r="D95">
        <v>80.742278104129397</v>
      </c>
      <c r="E95">
        <v>1</v>
      </c>
      <c r="F95">
        <v>167.36926269531199</v>
      </c>
      <c r="G95">
        <v>213.34190602116001</v>
      </c>
      <c r="H95">
        <v>45.972643325847599</v>
      </c>
      <c r="I95">
        <v>0.215488106313664</v>
      </c>
    </row>
    <row r="96" spans="1:9" x14ac:dyDescent="0.2">
      <c r="A96" t="s">
        <v>9</v>
      </c>
      <c r="B96">
        <v>82.5487813393555</v>
      </c>
      <c r="C96">
        <v>399.90258823239299</v>
      </c>
      <c r="D96">
        <v>78.679476093949802</v>
      </c>
      <c r="E96">
        <v>1</v>
      </c>
      <c r="F96">
        <v>4085.76147460937</v>
      </c>
      <c r="G96">
        <v>3488.29689929397</v>
      </c>
      <c r="H96">
        <v>597.46457531539897</v>
      </c>
      <c r="I96">
        <v>0.17127687022177601</v>
      </c>
    </row>
    <row r="97" spans="1:9" x14ac:dyDescent="0.2">
      <c r="A97" t="s">
        <v>9</v>
      </c>
      <c r="B97">
        <v>16.4507266474101</v>
      </c>
      <c r="C97">
        <v>326.21467961899799</v>
      </c>
      <c r="D97">
        <v>91.530826861530798</v>
      </c>
      <c r="E97">
        <v>1</v>
      </c>
      <c r="F97">
        <v>464.70770263671801</v>
      </c>
      <c r="G97">
        <v>487.45128639478298</v>
      </c>
      <c r="H97">
        <v>22.743583758064201</v>
      </c>
      <c r="I97">
        <v>4.6658167478184402E-2</v>
      </c>
    </row>
    <row r="98" spans="1:9" x14ac:dyDescent="0.2">
      <c r="A98" t="s">
        <v>9</v>
      </c>
      <c r="B98">
        <v>37.514699649664102</v>
      </c>
      <c r="C98">
        <v>384.90445218592703</v>
      </c>
      <c r="D98">
        <v>67.030664673847696</v>
      </c>
      <c r="E98">
        <v>1</v>
      </c>
      <c r="F98">
        <v>1705.91064453125</v>
      </c>
      <c r="G98">
        <v>1790.9806869563199</v>
      </c>
      <c r="H98">
        <v>85.070042425074604</v>
      </c>
      <c r="I98">
        <v>4.74991400212397E-2</v>
      </c>
    </row>
    <row r="99" spans="1:9" x14ac:dyDescent="0.2">
      <c r="A99" t="s">
        <v>9</v>
      </c>
      <c r="B99">
        <v>31.673816655696399</v>
      </c>
      <c r="C99">
        <v>360.56831486557002</v>
      </c>
      <c r="D99">
        <v>69.286223233522307</v>
      </c>
      <c r="E99">
        <v>1</v>
      </c>
      <c r="F99">
        <v>1293.37182617187</v>
      </c>
      <c r="G99">
        <v>1370.41180192562</v>
      </c>
      <c r="H99">
        <v>77.039975753748607</v>
      </c>
      <c r="I99">
        <v>5.6216661039766601E-2</v>
      </c>
    </row>
    <row r="100" spans="1:9" x14ac:dyDescent="0.2">
      <c r="A100" t="s">
        <v>9</v>
      </c>
      <c r="B100">
        <v>69.133703527774102</v>
      </c>
      <c r="C100">
        <v>380.60357075271202</v>
      </c>
      <c r="D100">
        <v>16.374165445316699</v>
      </c>
      <c r="E100">
        <v>1</v>
      </c>
      <c r="F100">
        <v>16522.923828125</v>
      </c>
      <c r="G100">
        <v>13360.2174666757</v>
      </c>
      <c r="H100">
        <v>3162.7063614492799</v>
      </c>
      <c r="I100">
        <v>0.23672566478337601</v>
      </c>
    </row>
    <row r="101" spans="1:9" x14ac:dyDescent="0.2">
      <c r="A101" t="s">
        <v>9</v>
      </c>
      <c r="B101">
        <v>17.857187817437101</v>
      </c>
      <c r="C101">
        <v>363.031775544347</v>
      </c>
      <c r="D101">
        <v>2.3888813978811698</v>
      </c>
      <c r="E101">
        <v>1</v>
      </c>
      <c r="F101">
        <v>13825.603515625</v>
      </c>
      <c r="G101">
        <v>22561.768448120401</v>
      </c>
      <c r="H101">
        <v>8736.1649324954305</v>
      </c>
      <c r="I101">
        <v>0.38721100044013701</v>
      </c>
    </row>
    <row r="102" spans="1:9" x14ac:dyDescent="0.2">
      <c r="A102" t="s">
        <v>9</v>
      </c>
      <c r="B102">
        <v>39.6256162216986</v>
      </c>
      <c r="C102">
        <v>336.26968570578401</v>
      </c>
      <c r="D102">
        <v>6.5563152418419897</v>
      </c>
      <c r="E102">
        <v>1</v>
      </c>
      <c r="F102">
        <v>15340.982421875</v>
      </c>
      <c r="G102">
        <v>16897.168695938701</v>
      </c>
      <c r="H102">
        <v>1556.18627406374</v>
      </c>
      <c r="I102">
        <v>9.2097457394609297E-2</v>
      </c>
    </row>
    <row r="103" spans="1:9" x14ac:dyDescent="0.2">
      <c r="A103" t="s">
        <v>9</v>
      </c>
      <c r="B103">
        <v>0.58245951079809399</v>
      </c>
      <c r="C103">
        <v>376.07887845834802</v>
      </c>
      <c r="D103">
        <v>96.4461340160357</v>
      </c>
      <c r="E103">
        <v>1</v>
      </c>
      <c r="F103">
        <v>45.004112243652301</v>
      </c>
      <c r="G103">
        <v>18.882951619278199</v>
      </c>
      <c r="H103">
        <v>26.121160624374099</v>
      </c>
      <c r="I103">
        <v>1.3833197876600001</v>
      </c>
    </row>
    <row r="104" spans="1:9" x14ac:dyDescent="0.2">
      <c r="A104" t="s">
        <v>9</v>
      </c>
      <c r="B104">
        <v>26.249471275010102</v>
      </c>
      <c r="C104">
        <v>302.64845489039698</v>
      </c>
      <c r="D104">
        <v>64.572136555963297</v>
      </c>
      <c r="E104">
        <v>1</v>
      </c>
      <c r="F104">
        <v>915.59240722656205</v>
      </c>
      <c r="G104">
        <v>1022.87811045518</v>
      </c>
      <c r="H104">
        <v>107.28570322862301</v>
      </c>
      <c r="I104">
        <v>0.10488610728103299</v>
      </c>
    </row>
    <row r="105" spans="1:9" x14ac:dyDescent="0.2">
      <c r="A105" t="s">
        <v>9</v>
      </c>
      <c r="B105">
        <v>42.118881422895498</v>
      </c>
      <c r="C105">
        <v>344.68129517344499</v>
      </c>
      <c r="D105">
        <v>94.690666649340699</v>
      </c>
      <c r="E105">
        <v>1</v>
      </c>
      <c r="F105">
        <v>1261.81323242187</v>
      </c>
      <c r="G105">
        <v>1274.66890370736</v>
      </c>
      <c r="H105">
        <v>12.855671285489001</v>
      </c>
      <c r="I105">
        <v>1.0085498475798999E-2</v>
      </c>
    </row>
    <row r="106" spans="1:9" x14ac:dyDescent="0.2">
      <c r="A106" t="s">
        <v>9</v>
      </c>
      <c r="B106">
        <v>10.5921236707324</v>
      </c>
      <c r="C106">
        <v>337.18545698701001</v>
      </c>
      <c r="D106">
        <v>34.938435887209501</v>
      </c>
      <c r="E106">
        <v>1</v>
      </c>
      <c r="F106">
        <v>1016.8735961914</v>
      </c>
      <c r="G106">
        <v>849.88162429045997</v>
      </c>
      <c r="H106">
        <v>166.991971900946</v>
      </c>
      <c r="I106">
        <v>0.196488507491102</v>
      </c>
    </row>
    <row r="107" spans="1:9" x14ac:dyDescent="0.2">
      <c r="A107" t="s">
        <v>9</v>
      </c>
      <c r="B107">
        <v>63.315994603655703</v>
      </c>
      <c r="C107">
        <v>347.70740056373398</v>
      </c>
      <c r="D107">
        <v>75.522157666141396</v>
      </c>
      <c r="E107">
        <v>1</v>
      </c>
      <c r="F107">
        <v>2560.33837890625</v>
      </c>
      <c r="G107">
        <v>2423.6114667034799</v>
      </c>
      <c r="H107">
        <v>136.72691220276499</v>
      </c>
      <c r="I107">
        <v>5.6414534293624398E-2</v>
      </c>
    </row>
    <row r="108" spans="1:9" x14ac:dyDescent="0.2">
      <c r="A108" t="s">
        <v>9</v>
      </c>
      <c r="B108">
        <v>38.042426988653197</v>
      </c>
      <c r="C108">
        <v>312.76206864960699</v>
      </c>
      <c r="D108">
        <v>6.5398965361666699</v>
      </c>
      <c r="E108">
        <v>1</v>
      </c>
      <c r="F108">
        <v>13198.2060546875</v>
      </c>
      <c r="G108">
        <v>15125.907326976099</v>
      </c>
      <c r="H108">
        <v>1927.70127228862</v>
      </c>
      <c r="I108">
        <v>0.127443678624864</v>
      </c>
    </row>
    <row r="109" spans="1:9" x14ac:dyDescent="0.2">
      <c r="A109" t="s">
        <v>9</v>
      </c>
      <c r="B109">
        <v>72.529393807623805</v>
      </c>
      <c r="C109">
        <v>322.25068659462698</v>
      </c>
      <c r="D109">
        <v>16.620516559297101</v>
      </c>
      <c r="E109">
        <v>1</v>
      </c>
      <c r="F109">
        <v>13811.15625</v>
      </c>
      <c r="G109">
        <v>11691.585280896201</v>
      </c>
      <c r="H109">
        <v>2119.57096910377</v>
      </c>
      <c r="I109">
        <v>0.181290297096588</v>
      </c>
    </row>
    <row r="110" spans="1:9" x14ac:dyDescent="0.2">
      <c r="A110" t="s">
        <v>9</v>
      </c>
      <c r="B110">
        <v>65.386601106839393</v>
      </c>
      <c r="C110">
        <v>356.20515900996998</v>
      </c>
      <c r="D110">
        <v>27.713333487198899</v>
      </c>
      <c r="E110">
        <v>1</v>
      </c>
      <c r="F110">
        <v>5681.33203125</v>
      </c>
      <c r="G110">
        <v>6987.3133545211003</v>
      </c>
      <c r="H110">
        <v>1305.9813232711001</v>
      </c>
      <c r="I110">
        <v>0.18690750750802901</v>
      </c>
    </row>
    <row r="111" spans="1:9" x14ac:dyDescent="0.2">
      <c r="A111" t="s">
        <v>9</v>
      </c>
      <c r="B111">
        <v>43.1226748777406</v>
      </c>
      <c r="C111">
        <v>338.77691156559501</v>
      </c>
      <c r="D111">
        <v>55.0318251700741</v>
      </c>
      <c r="E111">
        <v>1</v>
      </c>
      <c r="F111">
        <v>1948.42956542968</v>
      </c>
      <c r="G111">
        <v>2207.06742052455</v>
      </c>
      <c r="H111">
        <v>258.63785509486797</v>
      </c>
      <c r="I111">
        <v>0.11718620495671001</v>
      </c>
    </row>
    <row r="112" spans="1:9" x14ac:dyDescent="0.2">
      <c r="A112" t="s">
        <v>9</v>
      </c>
      <c r="B112">
        <v>86.732050564219904</v>
      </c>
      <c r="C112">
        <v>379.16562055903398</v>
      </c>
      <c r="D112">
        <v>55.740888009091002</v>
      </c>
      <c r="E112">
        <v>1</v>
      </c>
      <c r="F112">
        <v>5088.91455078125</v>
      </c>
      <c r="G112">
        <v>4905.0642869007197</v>
      </c>
      <c r="H112">
        <v>183.85026388052299</v>
      </c>
      <c r="I112">
        <v>3.7481723607885598E-2</v>
      </c>
    </row>
    <row r="113" spans="1:9" x14ac:dyDescent="0.2">
      <c r="A113" t="s">
        <v>9</v>
      </c>
      <c r="B113">
        <v>63.2135117500167</v>
      </c>
      <c r="C113">
        <v>360.51365892775101</v>
      </c>
      <c r="D113">
        <v>49.898645230701398</v>
      </c>
      <c r="E113">
        <v>1</v>
      </c>
      <c r="F113">
        <v>3455.9892578125</v>
      </c>
      <c r="G113">
        <v>3797.10762581981</v>
      </c>
      <c r="H113">
        <v>341.11836800731402</v>
      </c>
      <c r="I113">
        <v>8.9836370633203905E-2</v>
      </c>
    </row>
    <row r="114" spans="1:9" x14ac:dyDescent="0.2">
      <c r="A114" t="s">
        <v>9</v>
      </c>
      <c r="B114">
        <v>81.027435210629903</v>
      </c>
      <c r="C114">
        <v>386.126668478699</v>
      </c>
      <c r="D114">
        <v>42.446358463207702</v>
      </c>
      <c r="E114">
        <v>1</v>
      </c>
      <c r="F114">
        <v>5344.9677734375</v>
      </c>
      <c r="G114">
        <v>6128.1794330146004</v>
      </c>
      <c r="H114">
        <v>783.21165957710798</v>
      </c>
      <c r="I114">
        <v>0.127804948947427</v>
      </c>
    </row>
    <row r="115" spans="1:9" x14ac:dyDescent="0.2">
      <c r="A115" t="s">
        <v>9</v>
      </c>
      <c r="B115">
        <v>34.179472394011299</v>
      </c>
      <c r="C115">
        <v>373.23608373256002</v>
      </c>
      <c r="D115">
        <v>57.570516033909797</v>
      </c>
      <c r="E115">
        <v>1</v>
      </c>
      <c r="F115">
        <v>1651.91052246093</v>
      </c>
      <c r="G115">
        <v>1842.29373939633</v>
      </c>
      <c r="H115">
        <v>190.383216935402</v>
      </c>
      <c r="I115">
        <v>0.103340315859611</v>
      </c>
    </row>
    <row r="116" spans="1:9" x14ac:dyDescent="0.2">
      <c r="A116" t="s">
        <v>9</v>
      </c>
      <c r="B116">
        <v>54.366928966845499</v>
      </c>
      <c r="C116">
        <v>360.182344775856</v>
      </c>
      <c r="D116">
        <v>96.666239538783799</v>
      </c>
      <c r="E116">
        <v>1</v>
      </c>
      <c r="F116">
        <v>1689.60522460937</v>
      </c>
      <c r="G116">
        <v>1684.1951740599</v>
      </c>
      <c r="H116">
        <v>5.4100505494670799</v>
      </c>
      <c r="I116">
        <v>3.2122467946667098E-3</v>
      </c>
    </row>
    <row r="117" spans="1:9" x14ac:dyDescent="0.2">
      <c r="A117" t="s">
        <v>9</v>
      </c>
      <c r="B117">
        <v>19.629688511475301</v>
      </c>
      <c r="C117">
        <v>328.761560219599</v>
      </c>
      <c r="D117">
        <v>45.807956048611899</v>
      </c>
      <c r="E117">
        <v>1</v>
      </c>
      <c r="F117">
        <v>1005.82989501953</v>
      </c>
      <c r="G117">
        <v>1171.2876043000199</v>
      </c>
      <c r="H117">
        <v>165.45770928049299</v>
      </c>
      <c r="I117">
        <v>0.14126138505441799</v>
      </c>
    </row>
    <row r="118" spans="1:9" x14ac:dyDescent="0.2">
      <c r="A118" t="s">
        <v>9</v>
      </c>
      <c r="B118">
        <v>99.614119011862698</v>
      </c>
      <c r="C118">
        <v>378.276046792616</v>
      </c>
      <c r="D118">
        <v>83.747142179840395</v>
      </c>
      <c r="E118">
        <v>1</v>
      </c>
      <c r="F118">
        <v>3834.74658203125</v>
      </c>
      <c r="G118">
        <v>3740.8454358827198</v>
      </c>
      <c r="H118">
        <v>93.901146148521505</v>
      </c>
      <c r="I118">
        <v>2.5101584055787999E-2</v>
      </c>
    </row>
    <row r="119" spans="1:9" x14ac:dyDescent="0.2">
      <c r="A119" t="s">
        <v>9</v>
      </c>
      <c r="B119">
        <v>24.321546430632701</v>
      </c>
      <c r="C119">
        <v>325.126757817108</v>
      </c>
      <c r="D119">
        <v>5.5871965031871103</v>
      </c>
      <c r="E119">
        <v>1</v>
      </c>
      <c r="F119">
        <v>9910.6669921875</v>
      </c>
      <c r="G119">
        <v>11766.843372977601</v>
      </c>
      <c r="H119">
        <v>1856.17638079014</v>
      </c>
      <c r="I119">
        <v>0.15774633195618201</v>
      </c>
    </row>
    <row r="120" spans="1:9" x14ac:dyDescent="0.2">
      <c r="A120" t="s">
        <v>9</v>
      </c>
      <c r="B120">
        <v>25.6867467227102</v>
      </c>
      <c r="C120">
        <v>307.52111118144001</v>
      </c>
      <c r="D120">
        <v>38.558725723005701</v>
      </c>
      <c r="E120">
        <v>1</v>
      </c>
      <c r="F120">
        <v>1247.61572265625</v>
      </c>
      <c r="G120">
        <v>1703.2225010542099</v>
      </c>
      <c r="H120">
        <v>455.60677839796</v>
      </c>
      <c r="I120">
        <v>0.26749692310661799</v>
      </c>
    </row>
    <row r="121" spans="1:9" x14ac:dyDescent="0.2">
      <c r="A121" t="s">
        <v>9</v>
      </c>
      <c r="B121">
        <v>7.3190072390965897</v>
      </c>
      <c r="C121">
        <v>396.286457844322</v>
      </c>
      <c r="D121">
        <v>56.049644364239903</v>
      </c>
      <c r="E121">
        <v>1</v>
      </c>
      <c r="F121">
        <v>724.09460449218705</v>
      </c>
      <c r="G121">
        <v>430.22789649671603</v>
      </c>
      <c r="H121">
        <v>293.86670799546999</v>
      </c>
      <c r="I121">
        <v>0.68304893845421</v>
      </c>
    </row>
    <row r="122" spans="1:9" x14ac:dyDescent="0.2">
      <c r="A122" t="s">
        <v>9</v>
      </c>
      <c r="B122">
        <v>25.780311899673599</v>
      </c>
      <c r="C122">
        <v>354.001120509646</v>
      </c>
      <c r="D122">
        <v>62.0320555654937</v>
      </c>
      <c r="E122">
        <v>1</v>
      </c>
      <c r="F122">
        <v>1133.99865722656</v>
      </c>
      <c r="G122">
        <v>1223.1695229982599</v>
      </c>
      <c r="H122">
        <v>89.1708657717069</v>
      </c>
      <c r="I122">
        <v>7.2901477755208194E-2</v>
      </c>
    </row>
    <row r="123" spans="1:9" x14ac:dyDescent="0.2">
      <c r="A123" t="s">
        <v>9</v>
      </c>
      <c r="B123">
        <v>76.312853254405297</v>
      </c>
      <c r="C123">
        <v>377.38942975498099</v>
      </c>
      <c r="D123">
        <v>25.0018339932011</v>
      </c>
      <c r="E123">
        <v>1</v>
      </c>
      <c r="F123">
        <v>7861.3134765625</v>
      </c>
      <c r="G123">
        <v>9576.9137574695797</v>
      </c>
      <c r="H123">
        <v>1715.6002809070801</v>
      </c>
      <c r="I123">
        <v>0.17913915947807099</v>
      </c>
    </row>
    <row r="124" spans="1:9" x14ac:dyDescent="0.2">
      <c r="A124" t="s">
        <v>9</v>
      </c>
      <c r="B124">
        <v>69.789357068308107</v>
      </c>
      <c r="C124">
        <v>352.92228076303599</v>
      </c>
      <c r="D124">
        <v>39.929101348659501</v>
      </c>
      <c r="E124">
        <v>1</v>
      </c>
      <c r="F124">
        <v>4116.0439453125</v>
      </c>
      <c r="G124">
        <v>5128.4810934261995</v>
      </c>
      <c r="H124">
        <v>1012.4371481137</v>
      </c>
      <c r="I124">
        <v>0.19741462036614801</v>
      </c>
    </row>
    <row r="125" spans="1:9" x14ac:dyDescent="0.2">
      <c r="A125" t="s">
        <v>9</v>
      </c>
      <c r="B125">
        <v>12.8673212317169</v>
      </c>
      <c r="C125">
        <v>361.15797303718199</v>
      </c>
      <c r="D125">
        <v>94.700616873569004</v>
      </c>
      <c r="E125">
        <v>1</v>
      </c>
      <c r="F125">
        <v>446.69009399414</v>
      </c>
      <c r="G125">
        <v>407.98346522710898</v>
      </c>
      <c r="H125">
        <v>38.7066287670308</v>
      </c>
      <c r="I125">
        <v>9.4873033017365604E-2</v>
      </c>
    </row>
    <row r="126" spans="1:9" x14ac:dyDescent="0.2">
      <c r="A126" t="s">
        <v>9</v>
      </c>
      <c r="B126">
        <v>37.623850142809403</v>
      </c>
      <c r="C126">
        <v>303.38922505164999</v>
      </c>
      <c r="D126">
        <v>64.885075401194896</v>
      </c>
      <c r="E126">
        <v>1</v>
      </c>
      <c r="F126">
        <v>1339.77136230468</v>
      </c>
      <c r="G126">
        <v>1462.6101908847399</v>
      </c>
      <c r="H126">
        <v>122.838828580061</v>
      </c>
      <c r="I126">
        <v>8.3986033562199594E-2</v>
      </c>
    </row>
    <row r="127" spans="1:9" x14ac:dyDescent="0.2">
      <c r="A127" t="s">
        <v>9</v>
      </c>
      <c r="B127">
        <v>42.0921394617462</v>
      </c>
      <c r="C127">
        <v>318.67936793538001</v>
      </c>
      <c r="D127">
        <v>58.496624841229398</v>
      </c>
      <c r="E127">
        <v>1</v>
      </c>
      <c r="F127">
        <v>1719.70092773437</v>
      </c>
      <c r="G127">
        <v>1906.4883651258299</v>
      </c>
      <c r="H127">
        <v>186.78743739146</v>
      </c>
      <c r="I127">
        <v>9.7974601265993902E-2</v>
      </c>
    </row>
    <row r="128" spans="1:9" x14ac:dyDescent="0.2">
      <c r="A128" t="s">
        <v>9</v>
      </c>
      <c r="B128">
        <v>66.498424636196006</v>
      </c>
      <c r="C128">
        <v>367.46893954347701</v>
      </c>
      <c r="D128">
        <v>6.5298710519840899</v>
      </c>
      <c r="E128">
        <v>1</v>
      </c>
      <c r="F128">
        <v>32485.5</v>
      </c>
      <c r="G128">
        <v>31112.678978574</v>
      </c>
      <c r="H128">
        <v>1372.82102142598</v>
      </c>
      <c r="I128">
        <v>4.4124166304399297E-2</v>
      </c>
    </row>
    <row r="129" spans="1:9" x14ac:dyDescent="0.2">
      <c r="A129" t="s">
        <v>9</v>
      </c>
      <c r="B129">
        <v>45.592896304374797</v>
      </c>
      <c r="C129">
        <v>357.056459795249</v>
      </c>
      <c r="D129">
        <v>5.2176257643147697</v>
      </c>
      <c r="E129">
        <v>1</v>
      </c>
      <c r="F129">
        <v>21936.47265625</v>
      </c>
      <c r="G129">
        <v>25940.071607591399</v>
      </c>
      <c r="H129">
        <v>4003.5989513414702</v>
      </c>
      <c r="I129">
        <v>0.15434031994614</v>
      </c>
    </row>
    <row r="130" spans="1:9" x14ac:dyDescent="0.2">
      <c r="A130" t="s">
        <v>9</v>
      </c>
      <c r="B130">
        <v>58.651832682553099</v>
      </c>
      <c r="C130">
        <v>315.85550339867098</v>
      </c>
      <c r="D130">
        <v>21.139844783206399</v>
      </c>
      <c r="E130">
        <v>1</v>
      </c>
      <c r="F130">
        <v>5106.2822265625</v>
      </c>
      <c r="G130">
        <v>7285.8170424721302</v>
      </c>
      <c r="H130">
        <v>2179.5348159096302</v>
      </c>
      <c r="I130">
        <v>0.29914761833905401</v>
      </c>
    </row>
    <row r="131" spans="1:9" x14ac:dyDescent="0.2">
      <c r="A131" t="s">
        <v>9</v>
      </c>
      <c r="B131">
        <v>83.968460360894198</v>
      </c>
      <c r="C131">
        <v>395.20292687261798</v>
      </c>
      <c r="D131">
        <v>13.7822775848633</v>
      </c>
      <c r="E131">
        <v>1</v>
      </c>
      <c r="F131">
        <v>30473.353515625</v>
      </c>
      <c r="G131">
        <v>20018.215946251901</v>
      </c>
      <c r="H131">
        <v>10455.137569373001</v>
      </c>
      <c r="I131">
        <v>0.522281186167871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F5961-94AD-C547-94C2-7824E171F058}">
  <dimension ref="A1:S101"/>
  <sheetViews>
    <sheetView workbookViewId="0">
      <selection activeCell="L2" sqref="L2"/>
    </sheetView>
  </sheetViews>
  <sheetFormatPr baseColWidth="10" defaultRowHeight="16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L1" t="s">
        <v>0</v>
      </c>
      <c r="M1">
        <v>0</v>
      </c>
      <c r="N1">
        <v>1</v>
      </c>
      <c r="Q1" t="s">
        <v>0</v>
      </c>
      <c r="R1">
        <v>0</v>
      </c>
      <c r="S1">
        <v>1</v>
      </c>
    </row>
    <row r="2" spans="1:19" x14ac:dyDescent="0.2">
      <c r="A2">
        <v>0</v>
      </c>
      <c r="B2">
        <v>48.519097443163503</v>
      </c>
      <c r="C2">
        <v>372.64736103123698</v>
      </c>
      <c r="D2">
        <v>15.4353632547404</v>
      </c>
      <c r="E2">
        <v>9088.2255859375</v>
      </c>
      <c r="F2">
        <v>9738.7659604047003</v>
      </c>
      <c r="G2">
        <v>650.54037446720201</v>
      </c>
      <c r="H2">
        <v>6.6799056175302907E-2</v>
      </c>
      <c r="L2">
        <v>0</v>
      </c>
      <c r="M2">
        <v>964.08044433593705</v>
      </c>
      <c r="N2">
        <v>1000.01455148404</v>
      </c>
      <c r="Q2">
        <v>0</v>
      </c>
      <c r="R2">
        <v>1958.23168945312</v>
      </c>
      <c r="S2">
        <v>1966.3287952549399</v>
      </c>
    </row>
    <row r="3" spans="1:19" x14ac:dyDescent="0.2">
      <c r="A3">
        <v>1</v>
      </c>
      <c r="B3">
        <v>98.073719980123798</v>
      </c>
      <c r="C3">
        <v>336.50072635085502</v>
      </c>
      <c r="D3">
        <v>51.030324973868503</v>
      </c>
      <c r="E3">
        <v>4613.029296875</v>
      </c>
      <c r="F3">
        <v>5376.7561525297197</v>
      </c>
      <c r="G3">
        <v>763.72685565472602</v>
      </c>
      <c r="H3">
        <v>0.14204230840846199</v>
      </c>
      <c r="L3">
        <v>1</v>
      </c>
      <c r="M3">
        <v>3861.5634765625</v>
      </c>
      <c r="N3">
        <v>3767.34305054885</v>
      </c>
      <c r="Q3">
        <v>1</v>
      </c>
      <c r="R3">
        <v>1154.41552734375</v>
      </c>
      <c r="S3">
        <v>1113.82128417186</v>
      </c>
    </row>
    <row r="4" spans="1:19" x14ac:dyDescent="0.2">
      <c r="A4">
        <v>2</v>
      </c>
      <c r="B4">
        <v>96.165719366378596</v>
      </c>
      <c r="C4">
        <v>344.839630934448</v>
      </c>
      <c r="D4">
        <v>14.4002875019257</v>
      </c>
      <c r="E4">
        <v>32156.474609375</v>
      </c>
      <c r="F4">
        <v>19145.923248463801</v>
      </c>
      <c r="G4">
        <v>13010.5513609111</v>
      </c>
      <c r="H4">
        <v>0.67954682529895705</v>
      </c>
      <c r="L4">
        <v>2</v>
      </c>
      <c r="M4">
        <v>189.31417846679599</v>
      </c>
      <c r="N4">
        <v>251.91420533356501</v>
      </c>
      <c r="Q4">
        <v>2</v>
      </c>
      <c r="R4">
        <v>1706.04272460937</v>
      </c>
      <c r="S4">
        <v>1668.9739700084399</v>
      </c>
    </row>
    <row r="5" spans="1:19" x14ac:dyDescent="0.2">
      <c r="A5">
        <v>3</v>
      </c>
      <c r="B5">
        <v>72.478994077353306</v>
      </c>
      <c r="C5">
        <v>336.76995696900002</v>
      </c>
      <c r="D5">
        <v>71.737172610623404</v>
      </c>
      <c r="E5">
        <v>2918.95385742187</v>
      </c>
      <c r="F5">
        <v>2828.8587510577399</v>
      </c>
      <c r="G5">
        <v>90.095106364130004</v>
      </c>
      <c r="H5">
        <v>3.1848570145272301E-2</v>
      </c>
      <c r="L5">
        <v>3</v>
      </c>
      <c r="M5">
        <v>5943.3544921875</v>
      </c>
      <c r="N5">
        <v>6040.2557768075803</v>
      </c>
      <c r="Q5">
        <v>3</v>
      </c>
      <c r="R5">
        <v>4058.54565429687</v>
      </c>
      <c r="S5">
        <v>5440.8292812948903</v>
      </c>
    </row>
    <row r="6" spans="1:19" x14ac:dyDescent="0.2">
      <c r="A6">
        <v>4</v>
      </c>
      <c r="B6">
        <v>54.122685554743398</v>
      </c>
      <c r="C6">
        <v>310.973466400669</v>
      </c>
      <c r="D6">
        <v>27.631301409515199</v>
      </c>
      <c r="E6">
        <v>3671.11547851562</v>
      </c>
      <c r="F6">
        <v>5064.2058742872096</v>
      </c>
      <c r="G6">
        <v>1393.09039577159</v>
      </c>
      <c r="H6">
        <v>0.275085656143011</v>
      </c>
      <c r="L6">
        <v>4</v>
      </c>
      <c r="M6">
        <v>4025.29028320312</v>
      </c>
      <c r="N6">
        <v>4120.1140759600003</v>
      </c>
      <c r="Q6">
        <v>4</v>
      </c>
      <c r="R6">
        <v>2688.2646484375</v>
      </c>
      <c r="S6">
        <v>2541.3704190163198</v>
      </c>
    </row>
    <row r="7" spans="1:19" x14ac:dyDescent="0.2">
      <c r="A7">
        <v>5</v>
      </c>
      <c r="B7">
        <v>27.689120404537</v>
      </c>
      <c r="C7">
        <v>320.32415440873899</v>
      </c>
      <c r="D7">
        <v>13.4133975121783</v>
      </c>
      <c r="E7">
        <v>4006.3681640625</v>
      </c>
      <c r="F7">
        <v>5497.5612042646198</v>
      </c>
      <c r="G7">
        <v>1491.1930402021201</v>
      </c>
      <c r="H7">
        <v>0.27124628263262601</v>
      </c>
      <c r="L7">
        <v>5</v>
      </c>
      <c r="M7">
        <v>3827.08642578125</v>
      </c>
      <c r="N7">
        <v>3719.23713953488</v>
      </c>
      <c r="Q7">
        <v>5</v>
      </c>
      <c r="R7">
        <v>717.27996826171795</v>
      </c>
      <c r="S7">
        <v>716.24213623636001</v>
      </c>
    </row>
    <row r="8" spans="1:19" x14ac:dyDescent="0.2">
      <c r="A8">
        <v>6</v>
      </c>
      <c r="B8">
        <v>16.065200877512599</v>
      </c>
      <c r="C8">
        <v>328.38064889441301</v>
      </c>
      <c r="D8">
        <v>4.5987180670515597</v>
      </c>
      <c r="E8">
        <v>8387.3916015625</v>
      </c>
      <c r="F8">
        <v>9537.5527293871291</v>
      </c>
      <c r="G8">
        <v>1150.1611278246301</v>
      </c>
      <c r="H8">
        <v>0.12059289845714299</v>
      </c>
      <c r="L8">
        <v>6</v>
      </c>
      <c r="M8">
        <v>2111.97534179687</v>
      </c>
      <c r="N8">
        <v>2160.51873904391</v>
      </c>
      <c r="Q8">
        <v>6</v>
      </c>
      <c r="R8">
        <v>42667.82421875</v>
      </c>
      <c r="S8">
        <v>42659.954129404403</v>
      </c>
    </row>
    <row r="9" spans="1:19" x14ac:dyDescent="0.2">
      <c r="A9">
        <v>7</v>
      </c>
      <c r="B9">
        <v>96.992541321613203</v>
      </c>
      <c r="C9">
        <v>331.41338956022997</v>
      </c>
      <c r="D9">
        <v>17.483553789762301</v>
      </c>
      <c r="E9">
        <v>24854.083984375</v>
      </c>
      <c r="F9">
        <v>15285.8183814391</v>
      </c>
      <c r="G9">
        <v>9568.2656029358404</v>
      </c>
      <c r="H9">
        <v>0.62595703835877903</v>
      </c>
      <c r="L9">
        <v>7</v>
      </c>
      <c r="M9">
        <v>10345.52734375</v>
      </c>
      <c r="N9">
        <v>10491.175517780801</v>
      </c>
      <c r="Q9">
        <v>7</v>
      </c>
      <c r="R9">
        <v>1831.513671875</v>
      </c>
      <c r="S9">
        <v>1814.0298683445801</v>
      </c>
    </row>
    <row r="10" spans="1:19" x14ac:dyDescent="0.2">
      <c r="A10">
        <v>8</v>
      </c>
      <c r="B10">
        <v>51.606858554787799</v>
      </c>
      <c r="C10">
        <v>331.30478588199298</v>
      </c>
      <c r="D10">
        <v>19.179871672356601</v>
      </c>
      <c r="E10">
        <v>5267.83740234375</v>
      </c>
      <c r="F10">
        <v>7411.3863936512498</v>
      </c>
      <c r="G10">
        <v>2143.5489913074998</v>
      </c>
      <c r="H10">
        <v>0.28922375348608298</v>
      </c>
      <c r="L10">
        <v>8</v>
      </c>
      <c r="M10">
        <v>1477.369140625</v>
      </c>
      <c r="N10">
        <v>1361.8247154308799</v>
      </c>
    </row>
    <row r="11" spans="1:19" x14ac:dyDescent="0.2">
      <c r="A11">
        <v>9</v>
      </c>
      <c r="B11">
        <v>11.586561247077</v>
      </c>
      <c r="C11">
        <v>357.66997162529498</v>
      </c>
      <c r="D11">
        <v>53.697207957179202</v>
      </c>
      <c r="E11">
        <v>751.175537109375</v>
      </c>
      <c r="F11">
        <v>641.64580228245302</v>
      </c>
      <c r="G11">
        <v>109.529734826921</v>
      </c>
      <c r="H11">
        <v>0.17070124114784799</v>
      </c>
      <c r="L11">
        <v>9</v>
      </c>
      <c r="M11">
        <v>1261.40209960937</v>
      </c>
      <c r="N11">
        <v>1210.7262628114299</v>
      </c>
    </row>
    <row r="12" spans="1:19" x14ac:dyDescent="0.2">
      <c r="A12">
        <v>10</v>
      </c>
      <c r="B12">
        <v>62.348975553750002</v>
      </c>
      <c r="C12">
        <v>397.168997561975</v>
      </c>
      <c r="D12">
        <v>45.103888617139098</v>
      </c>
      <c r="E12">
        <v>3819.8583984375</v>
      </c>
      <c r="F12">
        <v>4564.5786744193201</v>
      </c>
      <c r="G12">
        <v>744.72027598182103</v>
      </c>
      <c r="H12">
        <v>0.16315202981501001</v>
      </c>
      <c r="L12">
        <v>10</v>
      </c>
      <c r="M12">
        <v>3620.80297851562</v>
      </c>
      <c r="N12">
        <v>3802.6593763555602</v>
      </c>
    </row>
    <row r="13" spans="1:19" x14ac:dyDescent="0.2">
      <c r="A13">
        <v>11</v>
      </c>
      <c r="B13">
        <v>77.668311434229693</v>
      </c>
      <c r="C13">
        <v>377.46641349237302</v>
      </c>
      <c r="D13">
        <v>95.729436725353693</v>
      </c>
      <c r="E13">
        <v>2734.55883789062</v>
      </c>
      <c r="F13">
        <v>2546.1658838038202</v>
      </c>
      <c r="G13">
        <v>188.39295408679999</v>
      </c>
      <c r="H13">
        <v>7.3990840614576101E-2</v>
      </c>
      <c r="L13">
        <v>11</v>
      </c>
      <c r="M13">
        <v>719.91174316406205</v>
      </c>
      <c r="N13">
        <v>832.25313889821496</v>
      </c>
    </row>
    <row r="14" spans="1:19" x14ac:dyDescent="0.2">
      <c r="A14">
        <v>12</v>
      </c>
      <c r="B14">
        <v>61.300330105303999</v>
      </c>
      <c r="C14">
        <v>379.11339481727998</v>
      </c>
      <c r="D14">
        <v>95.415133686664205</v>
      </c>
      <c r="E14">
        <v>2158.39599609375</v>
      </c>
      <c r="F14">
        <v>2024.99847009622</v>
      </c>
      <c r="G14">
        <v>133.397525997527</v>
      </c>
      <c r="H14">
        <v>6.5875371249633094E-2</v>
      </c>
      <c r="L14">
        <v>12</v>
      </c>
      <c r="M14">
        <v>12195.763671875</v>
      </c>
      <c r="N14">
        <v>12332.772582514601</v>
      </c>
    </row>
    <row r="15" spans="1:19" x14ac:dyDescent="0.2">
      <c r="A15">
        <v>13</v>
      </c>
      <c r="B15">
        <v>91.729770479090206</v>
      </c>
      <c r="C15">
        <v>375.92685005395799</v>
      </c>
      <c r="D15">
        <v>79.654611046843002</v>
      </c>
      <c r="E15">
        <v>3795.1640625</v>
      </c>
      <c r="F15">
        <v>3599.2561169313999</v>
      </c>
      <c r="G15">
        <v>195.907945568592</v>
      </c>
      <c r="H15">
        <v>5.4430120892762703E-2</v>
      </c>
      <c r="L15">
        <v>13</v>
      </c>
      <c r="M15">
        <v>53285.5625</v>
      </c>
      <c r="N15">
        <v>53868.575239219303</v>
      </c>
    </row>
    <row r="16" spans="1:19" x14ac:dyDescent="0.2">
      <c r="A16">
        <v>14</v>
      </c>
      <c r="B16">
        <v>3.9592876664202801</v>
      </c>
      <c r="C16">
        <v>359.69877305237497</v>
      </c>
      <c r="D16">
        <v>67.158763398070306</v>
      </c>
      <c r="E16">
        <v>213.33660888671801</v>
      </c>
      <c r="F16">
        <v>176.304477846819</v>
      </c>
      <c r="G16">
        <v>37.032131039898999</v>
      </c>
      <c r="H16">
        <v>0.210046457651937</v>
      </c>
      <c r="L16">
        <v>14</v>
      </c>
      <c r="M16">
        <v>1205.90319824218</v>
      </c>
      <c r="N16">
        <v>1298.5680813158201</v>
      </c>
    </row>
    <row r="17" spans="1:14" x14ac:dyDescent="0.2">
      <c r="A17">
        <v>15</v>
      </c>
      <c r="B17">
        <v>52.858926326002099</v>
      </c>
      <c r="C17">
        <v>391.76922571709099</v>
      </c>
      <c r="D17">
        <v>84.502309156834599</v>
      </c>
      <c r="E17">
        <v>2168.03393554687</v>
      </c>
      <c r="F17">
        <v>2037.4647276548301</v>
      </c>
      <c r="G17">
        <v>130.569207892035</v>
      </c>
      <c r="H17">
        <v>6.4084156216202601E-2</v>
      </c>
      <c r="L17">
        <v>15</v>
      </c>
      <c r="M17">
        <v>41.505638122558501</v>
      </c>
      <c r="N17">
        <v>42.6593087593645</v>
      </c>
    </row>
    <row r="18" spans="1:14" x14ac:dyDescent="0.2">
      <c r="A18">
        <v>16</v>
      </c>
      <c r="B18">
        <v>45.9335882885403</v>
      </c>
      <c r="C18">
        <v>368.96301554470801</v>
      </c>
      <c r="D18">
        <v>93.875182847988398</v>
      </c>
      <c r="E18">
        <v>1538.37915039062</v>
      </c>
      <c r="F18">
        <v>1500.9714541319299</v>
      </c>
      <c r="G18">
        <v>37.407696258690699</v>
      </c>
      <c r="H18">
        <v>2.4922323576316699E-2</v>
      </c>
      <c r="L18">
        <v>16</v>
      </c>
      <c r="M18">
        <v>1214.33508300781</v>
      </c>
      <c r="N18">
        <v>1145.66219354946</v>
      </c>
    </row>
    <row r="19" spans="1:14" x14ac:dyDescent="0.2">
      <c r="A19">
        <v>17</v>
      </c>
      <c r="B19">
        <v>6.23495791498756</v>
      </c>
      <c r="C19">
        <v>350.03564307368703</v>
      </c>
      <c r="D19">
        <v>2.2617728887002699</v>
      </c>
      <c r="E19">
        <v>8755.5771484375</v>
      </c>
      <c r="F19">
        <v>8022.4463619540002</v>
      </c>
      <c r="G19">
        <v>733.13078648349597</v>
      </c>
      <c r="H19">
        <v>9.1384940877925605E-2</v>
      </c>
      <c r="L19">
        <v>17</v>
      </c>
      <c r="M19">
        <v>2774.98583984375</v>
      </c>
      <c r="N19">
        <v>2796.7533023923802</v>
      </c>
    </row>
    <row r="20" spans="1:14" x14ac:dyDescent="0.2">
      <c r="A20">
        <v>18</v>
      </c>
      <c r="B20">
        <v>64.132816913937404</v>
      </c>
      <c r="C20">
        <v>307.708380850053</v>
      </c>
      <c r="D20">
        <v>11.810522715085799</v>
      </c>
      <c r="E20">
        <v>16365.552734375</v>
      </c>
      <c r="F20">
        <v>13891.8646043552</v>
      </c>
      <c r="G20">
        <v>2473.6881300197801</v>
      </c>
      <c r="H20">
        <v>0.178067394152709</v>
      </c>
      <c r="L20">
        <v>18</v>
      </c>
      <c r="M20">
        <v>3254.263671875</v>
      </c>
      <c r="N20">
        <v>3347.53995579927</v>
      </c>
    </row>
    <row r="21" spans="1:14" x14ac:dyDescent="0.2">
      <c r="A21">
        <v>19</v>
      </c>
      <c r="B21">
        <v>85.263283848065598</v>
      </c>
      <c r="C21">
        <v>348.84492270855202</v>
      </c>
      <c r="D21">
        <v>36.026388468364303</v>
      </c>
      <c r="E21">
        <v>5751.29833984375</v>
      </c>
      <c r="F21">
        <v>6864.1024042264999</v>
      </c>
      <c r="G21">
        <v>1112.8040643827501</v>
      </c>
      <c r="H21">
        <v>0.16211938558748101</v>
      </c>
      <c r="L21">
        <v>19</v>
      </c>
      <c r="M21">
        <v>3131.00439453125</v>
      </c>
      <c r="N21">
        <v>2788.0404492200901</v>
      </c>
    </row>
    <row r="22" spans="1:14" x14ac:dyDescent="0.2">
      <c r="A22">
        <v>20</v>
      </c>
      <c r="B22">
        <v>59.294101810428401</v>
      </c>
      <c r="C22">
        <v>321.283099534033</v>
      </c>
      <c r="D22">
        <v>9.3586853042599696</v>
      </c>
      <c r="E22">
        <v>18993.330078125</v>
      </c>
      <c r="F22">
        <v>16923.6701421457</v>
      </c>
      <c r="G22">
        <v>2069.6599359792699</v>
      </c>
      <c r="H22">
        <v>0.12229380025702</v>
      </c>
      <c r="L22">
        <v>20</v>
      </c>
      <c r="M22">
        <v>8027.94287109375</v>
      </c>
      <c r="N22">
        <v>8069.2178982212199</v>
      </c>
    </row>
    <row r="23" spans="1:14" x14ac:dyDescent="0.2">
      <c r="A23">
        <v>21</v>
      </c>
      <c r="B23">
        <v>26.0097447737223</v>
      </c>
      <c r="C23">
        <v>313.26962975467802</v>
      </c>
      <c r="D23">
        <v>59.952447305327702</v>
      </c>
      <c r="E23">
        <v>1002.7056274414</v>
      </c>
      <c r="F23">
        <v>1129.94547821234</v>
      </c>
      <c r="G23">
        <v>127.239850770933</v>
      </c>
      <c r="H23">
        <v>0.11260707107057601</v>
      </c>
      <c r="L23">
        <v>21</v>
      </c>
      <c r="M23">
        <v>1989.57250976562</v>
      </c>
      <c r="N23">
        <v>2167.3079694814501</v>
      </c>
    </row>
    <row r="24" spans="1:14" x14ac:dyDescent="0.2">
      <c r="A24">
        <v>22</v>
      </c>
      <c r="B24">
        <v>83.988152103140806</v>
      </c>
      <c r="C24">
        <v>350.60649225293702</v>
      </c>
      <c r="D24">
        <v>26.0364222348108</v>
      </c>
      <c r="E24">
        <v>7752.59326171875</v>
      </c>
      <c r="F24">
        <v>9403.0055853711892</v>
      </c>
      <c r="G24">
        <v>1650.4123236524399</v>
      </c>
      <c r="H24">
        <v>0.175519657908114</v>
      </c>
    </row>
    <row r="25" spans="1:14" x14ac:dyDescent="0.2">
      <c r="A25">
        <v>23</v>
      </c>
      <c r="B25">
        <v>50.949588152150902</v>
      </c>
      <c r="C25">
        <v>378.50852925969502</v>
      </c>
      <c r="D25">
        <v>26.433972913232498</v>
      </c>
      <c r="E25">
        <v>5300.15966796875</v>
      </c>
      <c r="F25">
        <v>6065.4625774186497</v>
      </c>
      <c r="G25">
        <v>765.30290944990395</v>
      </c>
      <c r="H25">
        <v>0.126173873745273</v>
      </c>
    </row>
    <row r="26" spans="1:14" x14ac:dyDescent="0.2">
      <c r="A26">
        <v>24</v>
      </c>
      <c r="B26">
        <v>51.0888884466533</v>
      </c>
      <c r="C26">
        <v>329.500644280551</v>
      </c>
      <c r="D26">
        <v>28.832798864786501</v>
      </c>
      <c r="E26">
        <v>3717.18505859375</v>
      </c>
      <c r="F26">
        <v>4854.0689347287698</v>
      </c>
      <c r="G26">
        <v>1136.88387613502</v>
      </c>
      <c r="H26">
        <v>0.234212552689787</v>
      </c>
    </row>
    <row r="27" spans="1:14" x14ac:dyDescent="0.2">
      <c r="A27">
        <v>25</v>
      </c>
      <c r="B27">
        <v>75.303020770217699</v>
      </c>
      <c r="C27">
        <v>376.87717599091599</v>
      </c>
      <c r="D27">
        <v>9.7715657584389994</v>
      </c>
      <c r="E27">
        <v>31929.337890625</v>
      </c>
      <c r="F27">
        <v>24146.717232982399</v>
      </c>
      <c r="G27">
        <v>7782.6206576425702</v>
      </c>
      <c r="H27">
        <v>0.32230553671337703</v>
      </c>
    </row>
    <row r="28" spans="1:14" x14ac:dyDescent="0.2">
      <c r="A28">
        <v>26</v>
      </c>
      <c r="B28">
        <v>14.792203578495601</v>
      </c>
      <c r="C28">
        <v>352.56295231622499</v>
      </c>
      <c r="D28">
        <v>74.094445323815805</v>
      </c>
      <c r="E28">
        <v>635.71105957031205</v>
      </c>
      <c r="F28">
        <v>585.18598770341896</v>
      </c>
      <c r="G28">
        <v>50.525071866893498</v>
      </c>
      <c r="H28">
        <v>8.6340194277687299E-2</v>
      </c>
    </row>
    <row r="29" spans="1:14" x14ac:dyDescent="0.2">
      <c r="A29">
        <v>27</v>
      </c>
      <c r="B29">
        <v>81.9626719119277</v>
      </c>
      <c r="C29">
        <v>314.90480233707098</v>
      </c>
      <c r="D29">
        <v>65.067242959965</v>
      </c>
      <c r="E29">
        <v>3008.49584960937</v>
      </c>
      <c r="F29">
        <v>3297.94194533155</v>
      </c>
      <c r="G29">
        <v>289.446095722179</v>
      </c>
      <c r="H29">
        <v>8.7765673416995205E-2</v>
      </c>
    </row>
    <row r="30" spans="1:14" x14ac:dyDescent="0.2">
      <c r="A30">
        <v>28</v>
      </c>
      <c r="B30">
        <v>68.3286906003257</v>
      </c>
      <c r="C30">
        <v>396.49677439797301</v>
      </c>
      <c r="D30">
        <v>60.6508090641262</v>
      </c>
      <c r="E30">
        <v>3805.05444335937</v>
      </c>
      <c r="F30">
        <v>3713.7800460212402</v>
      </c>
      <c r="G30">
        <v>91.274397338133895</v>
      </c>
      <c r="H30">
        <v>2.4577222185228901E-2</v>
      </c>
    </row>
    <row r="31" spans="1:14" x14ac:dyDescent="0.2">
      <c r="A31">
        <v>29</v>
      </c>
      <c r="B31">
        <v>78.709694155480094</v>
      </c>
      <c r="C31">
        <v>340.16362238885102</v>
      </c>
      <c r="D31">
        <v>3.4045582277775401</v>
      </c>
      <c r="E31">
        <v>45848.890625</v>
      </c>
      <c r="F31">
        <v>65383.0756901266</v>
      </c>
      <c r="G31">
        <v>19534.1850651266</v>
      </c>
      <c r="H31">
        <v>0.29876515992771602</v>
      </c>
    </row>
    <row r="32" spans="1:14" x14ac:dyDescent="0.2">
      <c r="A32">
        <v>30</v>
      </c>
      <c r="B32">
        <v>19.161625902013501</v>
      </c>
      <c r="C32">
        <v>329.523425566269</v>
      </c>
      <c r="D32">
        <v>42.946414463887699</v>
      </c>
      <c r="E32">
        <v>1026.72680664062</v>
      </c>
      <c r="F32">
        <v>1222.3674026113999</v>
      </c>
      <c r="G32">
        <v>195.64059597077701</v>
      </c>
      <c r="H32">
        <v>0.16005056708222101</v>
      </c>
    </row>
    <row r="33" spans="1:8" x14ac:dyDescent="0.2">
      <c r="A33">
        <v>31</v>
      </c>
      <c r="B33">
        <v>80.236416113453004</v>
      </c>
      <c r="C33">
        <v>384.699837063372</v>
      </c>
      <c r="D33">
        <v>68.520358989984203</v>
      </c>
      <c r="E33">
        <v>4217.08740234375</v>
      </c>
      <c r="F33">
        <v>3745.2767526971102</v>
      </c>
      <c r="G33">
        <v>471.81064964663602</v>
      </c>
      <c r="H33">
        <v>0.12597484266199199</v>
      </c>
    </row>
    <row r="34" spans="1:8" x14ac:dyDescent="0.2">
      <c r="A34">
        <v>32</v>
      </c>
      <c r="B34">
        <v>19.13239260572</v>
      </c>
      <c r="C34">
        <v>312.44603325154799</v>
      </c>
      <c r="D34">
        <v>15.634664990358599</v>
      </c>
      <c r="E34">
        <v>2939.4755859375</v>
      </c>
      <c r="F34">
        <v>3178.8185583857498</v>
      </c>
      <c r="G34">
        <v>239.34297244825299</v>
      </c>
      <c r="H34">
        <v>7.5293058742489302E-2</v>
      </c>
    </row>
    <row r="35" spans="1:8" x14ac:dyDescent="0.2">
      <c r="A35">
        <v>33</v>
      </c>
      <c r="B35">
        <v>8.1552617363512692</v>
      </c>
      <c r="C35">
        <v>373.35904610736998</v>
      </c>
      <c r="D35">
        <v>38.565784465755002</v>
      </c>
      <c r="E35">
        <v>1087.51623535156</v>
      </c>
      <c r="F35">
        <v>656.40583447195002</v>
      </c>
      <c r="G35">
        <v>431.11040087961101</v>
      </c>
      <c r="H35">
        <v>0.65677417572989905</v>
      </c>
    </row>
    <row r="36" spans="1:8" x14ac:dyDescent="0.2">
      <c r="A36">
        <v>34</v>
      </c>
      <c r="B36">
        <v>85.522697428707005</v>
      </c>
      <c r="C36">
        <v>318.78247425654598</v>
      </c>
      <c r="D36">
        <v>1.9834145469936799</v>
      </c>
      <c r="E36">
        <v>52645.5078125</v>
      </c>
      <c r="F36">
        <v>114280.558303661</v>
      </c>
      <c r="G36">
        <v>61635.050491161601</v>
      </c>
      <c r="H36">
        <v>0.53933102363209895</v>
      </c>
    </row>
    <row r="37" spans="1:8" x14ac:dyDescent="0.2">
      <c r="A37">
        <v>35</v>
      </c>
      <c r="B37">
        <v>86.128349617766801</v>
      </c>
      <c r="C37">
        <v>339.249177601258</v>
      </c>
      <c r="D37">
        <v>8.1857997077242004</v>
      </c>
      <c r="E37">
        <v>39166.0234375</v>
      </c>
      <c r="F37">
        <v>29676.5789561499</v>
      </c>
      <c r="G37">
        <v>9489.4444813500704</v>
      </c>
      <c r="H37">
        <v>0.31976207551994601</v>
      </c>
    </row>
    <row r="38" spans="1:8" x14ac:dyDescent="0.2">
      <c r="A38">
        <v>36</v>
      </c>
      <c r="B38">
        <v>87.653709641657997</v>
      </c>
      <c r="C38">
        <v>323.189987846213</v>
      </c>
      <c r="D38">
        <v>21.645357999905301</v>
      </c>
      <c r="E38">
        <v>13027.3408203125</v>
      </c>
      <c r="F38">
        <v>10881.116147684599</v>
      </c>
      <c r="G38">
        <v>2146.2246726278399</v>
      </c>
      <c r="H38">
        <v>0.19724306252208601</v>
      </c>
    </row>
    <row r="39" spans="1:8" x14ac:dyDescent="0.2">
      <c r="A39">
        <v>37</v>
      </c>
      <c r="B39">
        <v>47.190971935878999</v>
      </c>
      <c r="C39">
        <v>384.12279926923799</v>
      </c>
      <c r="D39">
        <v>41.465016114124801</v>
      </c>
      <c r="E39">
        <v>2970.64038085937</v>
      </c>
      <c r="F39">
        <v>3634.6047418528801</v>
      </c>
      <c r="G39">
        <v>663.96436099351399</v>
      </c>
      <c r="H39">
        <v>0.18267856016030801</v>
      </c>
    </row>
    <row r="40" spans="1:8" x14ac:dyDescent="0.2">
      <c r="A40">
        <v>38</v>
      </c>
      <c r="B40">
        <v>27.4048388613718</v>
      </c>
      <c r="C40">
        <v>339.007455193986</v>
      </c>
      <c r="D40">
        <v>46.324003628737898</v>
      </c>
      <c r="E40">
        <v>1354.70861816406</v>
      </c>
      <c r="F40">
        <v>1667.4024488140999</v>
      </c>
      <c r="G40">
        <v>312.69383065004598</v>
      </c>
      <c r="H40">
        <v>0.18753350810564101</v>
      </c>
    </row>
    <row r="41" spans="1:8" x14ac:dyDescent="0.2">
      <c r="A41">
        <v>39</v>
      </c>
      <c r="B41">
        <v>0.70918286031662603</v>
      </c>
      <c r="C41">
        <v>397.46928128822799</v>
      </c>
      <c r="D41">
        <v>88.452153161811296</v>
      </c>
      <c r="E41">
        <v>53.082759857177699</v>
      </c>
      <c r="F41">
        <v>26.494968734241301</v>
      </c>
      <c r="G41">
        <v>26.587791122936299</v>
      </c>
      <c r="H41">
        <v>1.00350339680057</v>
      </c>
    </row>
    <row r="42" spans="1:8" x14ac:dyDescent="0.2">
      <c r="A42">
        <v>40</v>
      </c>
      <c r="B42">
        <v>64.572089557494706</v>
      </c>
      <c r="C42">
        <v>362.52614844150997</v>
      </c>
      <c r="D42">
        <v>31.6658442174013</v>
      </c>
      <c r="E42">
        <v>5126.09716796875</v>
      </c>
      <c r="F42">
        <v>6146.14959660563</v>
      </c>
      <c r="G42">
        <v>1020.05242863688</v>
      </c>
      <c r="H42">
        <v>0.165966091876487</v>
      </c>
    </row>
    <row r="43" spans="1:8" x14ac:dyDescent="0.2">
      <c r="A43">
        <v>41</v>
      </c>
      <c r="B43">
        <v>71.9909383508693</v>
      </c>
      <c r="C43">
        <v>369.362283470291</v>
      </c>
      <c r="D43">
        <v>2.1463876277191298</v>
      </c>
      <c r="E43">
        <v>47302.4609375</v>
      </c>
      <c r="F43">
        <v>102998.81890361301</v>
      </c>
      <c r="G43">
        <v>55696.357966113697</v>
      </c>
      <c r="H43">
        <v>0.54074754020465399</v>
      </c>
    </row>
    <row r="44" spans="1:8" x14ac:dyDescent="0.2">
      <c r="A44">
        <v>42</v>
      </c>
      <c r="B44">
        <v>83.556921650027405</v>
      </c>
      <c r="C44">
        <v>352.15251221324098</v>
      </c>
      <c r="D44">
        <v>82.622334677116498</v>
      </c>
      <c r="E44">
        <v>2965.60229492187</v>
      </c>
      <c r="F44">
        <v>2960.9139079728502</v>
      </c>
      <c r="G44">
        <v>4.6883869490220604</v>
      </c>
      <c r="H44">
        <v>1.5834256228786699E-3</v>
      </c>
    </row>
    <row r="45" spans="1:8" x14ac:dyDescent="0.2">
      <c r="A45">
        <v>43</v>
      </c>
      <c r="B45">
        <v>28.187782736454199</v>
      </c>
      <c r="C45">
        <v>330.89681990755901</v>
      </c>
      <c r="D45">
        <v>6.18469353735727</v>
      </c>
      <c r="E45">
        <v>10886.361328125</v>
      </c>
      <c r="F45">
        <v>12538.493078301901</v>
      </c>
      <c r="G45">
        <v>1652.1317501769099</v>
      </c>
      <c r="H45">
        <v>0.131764777462449</v>
      </c>
    </row>
    <row r="46" spans="1:8" x14ac:dyDescent="0.2">
      <c r="A46">
        <v>44</v>
      </c>
      <c r="B46">
        <v>21.521816716297302</v>
      </c>
      <c r="C46">
        <v>339.55564210524199</v>
      </c>
      <c r="D46">
        <v>9.2991992662228302</v>
      </c>
      <c r="E46">
        <v>5688.3828125</v>
      </c>
      <c r="F46">
        <v>6533.6271289626302</v>
      </c>
      <c r="G46">
        <v>845.24431646263304</v>
      </c>
      <c r="H46">
        <v>0.129368312543546</v>
      </c>
    </row>
    <row r="47" spans="1:8" x14ac:dyDescent="0.2">
      <c r="A47">
        <v>45</v>
      </c>
      <c r="B47">
        <v>63.933138006658702</v>
      </c>
      <c r="C47">
        <v>394.09341876618998</v>
      </c>
      <c r="D47">
        <v>96.318171673973495</v>
      </c>
      <c r="E47">
        <v>2395.51342773437</v>
      </c>
      <c r="F47">
        <v>2174.8384056632099</v>
      </c>
      <c r="G47">
        <v>220.67502207116499</v>
      </c>
      <c r="H47">
        <v>0.101467318903572</v>
      </c>
    </row>
    <row r="48" spans="1:8" x14ac:dyDescent="0.2">
      <c r="A48">
        <v>46</v>
      </c>
      <c r="B48">
        <v>80.505483314500907</v>
      </c>
      <c r="C48">
        <v>320.12032007246597</v>
      </c>
      <c r="D48">
        <v>75.336541812835804</v>
      </c>
      <c r="E48">
        <v>2618.74780273437</v>
      </c>
      <c r="F48">
        <v>2844.0880883967202</v>
      </c>
      <c r="G48">
        <v>225.34028566235199</v>
      </c>
      <c r="H48">
        <v>7.9231120365677907E-2</v>
      </c>
    </row>
    <row r="49" spans="1:8" x14ac:dyDescent="0.2">
      <c r="A49">
        <v>47</v>
      </c>
      <c r="B49">
        <v>96.367087284497003</v>
      </c>
      <c r="C49">
        <v>398.82189012202099</v>
      </c>
      <c r="D49">
        <v>33.785420277925503</v>
      </c>
      <c r="E49">
        <v>8857.869140625</v>
      </c>
      <c r="F49">
        <v>9457.7627262220794</v>
      </c>
      <c r="G49">
        <v>599.89358559708103</v>
      </c>
      <c r="H49">
        <v>6.3428699044632206E-2</v>
      </c>
    </row>
    <row r="50" spans="1:8" x14ac:dyDescent="0.2">
      <c r="A50">
        <v>48</v>
      </c>
      <c r="B50">
        <v>15.0524830421177</v>
      </c>
      <c r="C50">
        <v>375.83058620038099</v>
      </c>
      <c r="D50">
        <v>13.2178841619195</v>
      </c>
      <c r="E50">
        <v>4372.96484375</v>
      </c>
      <c r="F50">
        <v>3558.3474067983402</v>
      </c>
      <c r="G50">
        <v>814.61743695165899</v>
      </c>
      <c r="H50">
        <v>0.22893139534248499</v>
      </c>
    </row>
    <row r="51" spans="1:8" x14ac:dyDescent="0.2">
      <c r="A51">
        <v>49</v>
      </c>
      <c r="B51">
        <v>48.221238819933603</v>
      </c>
      <c r="C51">
        <v>335.97869264926101</v>
      </c>
      <c r="D51">
        <v>38.6730573171861</v>
      </c>
      <c r="E51">
        <v>2569.46728515625</v>
      </c>
      <c r="F51">
        <v>3482.9850679842998</v>
      </c>
      <c r="G51">
        <v>913.51778282805697</v>
      </c>
      <c r="H51">
        <v>0.26228013184010901</v>
      </c>
    </row>
    <row r="52" spans="1:8" x14ac:dyDescent="0.2">
      <c r="A52">
        <v>50</v>
      </c>
      <c r="B52">
        <v>89.471586219617294</v>
      </c>
      <c r="C52">
        <v>364.15135895056</v>
      </c>
      <c r="D52">
        <v>33.919489278017302</v>
      </c>
      <c r="E52">
        <v>6973.83544921875</v>
      </c>
      <c r="F52">
        <v>7985.9720812179503</v>
      </c>
      <c r="G52">
        <v>1012.1366319991999</v>
      </c>
      <c r="H52">
        <v>0.12673931510224401</v>
      </c>
    </row>
    <row r="53" spans="1:8" x14ac:dyDescent="0.2">
      <c r="A53">
        <v>51</v>
      </c>
      <c r="B53">
        <v>42.2716906945437</v>
      </c>
      <c r="C53">
        <v>338.09815392930801</v>
      </c>
      <c r="D53">
        <v>87.444120144247293</v>
      </c>
      <c r="E53">
        <v>1346.06652832031</v>
      </c>
      <c r="F53">
        <v>1358.8509599818501</v>
      </c>
      <c r="G53">
        <v>12.784431661537999</v>
      </c>
      <c r="H53">
        <v>9.4082662764640602E-3</v>
      </c>
    </row>
    <row r="54" spans="1:8" x14ac:dyDescent="0.2">
      <c r="A54">
        <v>52</v>
      </c>
      <c r="B54">
        <v>58.950206208404801</v>
      </c>
      <c r="C54">
        <v>338.14929326399198</v>
      </c>
      <c r="D54">
        <v>41.875301731404001</v>
      </c>
      <c r="E54">
        <v>3204.12451171875</v>
      </c>
      <c r="F54">
        <v>3957.7274537201101</v>
      </c>
      <c r="G54">
        <v>753.60294200136195</v>
      </c>
      <c r="H54">
        <v>0.190413046581316</v>
      </c>
    </row>
    <row r="55" spans="1:8" x14ac:dyDescent="0.2">
      <c r="A55">
        <v>53</v>
      </c>
      <c r="B55">
        <v>2.44906774933632</v>
      </c>
      <c r="C55">
        <v>350.38029501945198</v>
      </c>
      <c r="D55">
        <v>8.2045006015622004</v>
      </c>
      <c r="E55">
        <v>3565.14990234375</v>
      </c>
      <c r="F55">
        <v>869.55757407224598</v>
      </c>
      <c r="G55">
        <v>2695.5923282714998</v>
      </c>
      <c r="H55">
        <v>3.0999584255792301</v>
      </c>
    </row>
    <row r="56" spans="1:8" x14ac:dyDescent="0.2">
      <c r="A56">
        <v>54</v>
      </c>
      <c r="B56">
        <v>67.345988715293799</v>
      </c>
      <c r="C56">
        <v>301.67228216353698</v>
      </c>
      <c r="D56">
        <v>92.680520235858594</v>
      </c>
      <c r="E56">
        <v>1440.72802734375</v>
      </c>
      <c r="F56">
        <v>1822.5048773917299</v>
      </c>
      <c r="G56">
        <v>381.77685004798201</v>
      </c>
      <c r="H56">
        <v>0.20947919250255101</v>
      </c>
    </row>
    <row r="57" spans="1:8" x14ac:dyDescent="0.2">
      <c r="A57">
        <v>55</v>
      </c>
      <c r="B57">
        <v>91.908861963382193</v>
      </c>
      <c r="C57">
        <v>349.357155994339</v>
      </c>
      <c r="D57">
        <v>62.231336371525998</v>
      </c>
      <c r="E57">
        <v>4124.30322265625</v>
      </c>
      <c r="F57">
        <v>4289.7099182398597</v>
      </c>
      <c r="G57">
        <v>165.406695583615</v>
      </c>
      <c r="H57">
        <v>3.8558946580584598E-2</v>
      </c>
    </row>
    <row r="58" spans="1:8" x14ac:dyDescent="0.2">
      <c r="A58">
        <v>56</v>
      </c>
      <c r="B58">
        <v>82.682532955672102</v>
      </c>
      <c r="C58">
        <v>397.159841344688</v>
      </c>
      <c r="D58">
        <v>11.6709856781002</v>
      </c>
      <c r="E58">
        <v>34480.140625</v>
      </c>
      <c r="F58">
        <v>23392.7664671969</v>
      </c>
      <c r="G58">
        <v>11087.374157803</v>
      </c>
      <c r="H58">
        <v>0.47396592332722098</v>
      </c>
    </row>
    <row r="59" spans="1:8" x14ac:dyDescent="0.2">
      <c r="A59">
        <v>57</v>
      </c>
      <c r="B59">
        <v>88.552026670994593</v>
      </c>
      <c r="C59">
        <v>328.54652287855703</v>
      </c>
      <c r="D59">
        <v>11.317416004642199</v>
      </c>
      <c r="E59">
        <v>32477.083984375</v>
      </c>
      <c r="F59">
        <v>21372.6375470331</v>
      </c>
      <c r="G59">
        <v>11104.4464373418</v>
      </c>
      <c r="H59">
        <v>0.51956369039174899</v>
      </c>
    </row>
    <row r="60" spans="1:8" x14ac:dyDescent="0.2">
      <c r="A60">
        <v>58</v>
      </c>
      <c r="B60">
        <v>66.035538052052303</v>
      </c>
      <c r="C60">
        <v>374.821795907661</v>
      </c>
      <c r="D60">
        <v>46.593324116426402</v>
      </c>
      <c r="E60">
        <v>3886.97924804687</v>
      </c>
      <c r="F60">
        <v>4416.6082834620402</v>
      </c>
      <c r="G60">
        <v>529.62903541517096</v>
      </c>
      <c r="H60">
        <v>0.11991759318986001</v>
      </c>
    </row>
    <row r="61" spans="1:8" x14ac:dyDescent="0.2">
      <c r="A61">
        <v>59</v>
      </c>
      <c r="B61">
        <v>24.555226724317698</v>
      </c>
      <c r="C61">
        <v>344.27888900704897</v>
      </c>
      <c r="D61">
        <v>9.2088965689116105</v>
      </c>
      <c r="E61">
        <v>6862.603515625</v>
      </c>
      <c r="F61">
        <v>7632.32343647381</v>
      </c>
      <c r="G61">
        <v>769.71992084881401</v>
      </c>
      <c r="H61">
        <v>0.10085001340095499</v>
      </c>
    </row>
    <row r="62" spans="1:8" x14ac:dyDescent="0.2">
      <c r="A62">
        <v>60</v>
      </c>
      <c r="B62">
        <v>76.851699889625394</v>
      </c>
      <c r="C62">
        <v>320.928104261778</v>
      </c>
      <c r="D62">
        <v>63.1752192202758</v>
      </c>
      <c r="E62">
        <v>3099.96240234375</v>
      </c>
      <c r="F62">
        <v>3245.82044449161</v>
      </c>
      <c r="G62">
        <v>145.85804214786501</v>
      </c>
      <c r="H62">
        <v>4.4937187574684602E-2</v>
      </c>
    </row>
    <row r="63" spans="1:8" x14ac:dyDescent="0.2">
      <c r="A63">
        <v>61</v>
      </c>
      <c r="B63">
        <v>21.167474260751</v>
      </c>
      <c r="C63">
        <v>390.50025708181198</v>
      </c>
      <c r="D63">
        <v>61.638379109490998</v>
      </c>
      <c r="E63">
        <v>1116.75500488281</v>
      </c>
      <c r="F63">
        <v>1114.9340397618</v>
      </c>
      <c r="G63">
        <v>1.8209651210045099</v>
      </c>
      <c r="H63">
        <v>1.6332491932828099E-3</v>
      </c>
    </row>
    <row r="64" spans="1:8" x14ac:dyDescent="0.2">
      <c r="A64">
        <v>62</v>
      </c>
      <c r="B64">
        <v>83.127483466446094</v>
      </c>
      <c r="C64">
        <v>301.68272846802103</v>
      </c>
      <c r="D64">
        <v>3.20813486181537</v>
      </c>
      <c r="E64">
        <v>45398.375</v>
      </c>
      <c r="F64">
        <v>64990.8899515187</v>
      </c>
      <c r="G64">
        <v>19592.5149515187</v>
      </c>
      <c r="H64">
        <v>0.30146555872883302</v>
      </c>
    </row>
    <row r="65" spans="1:8" x14ac:dyDescent="0.2">
      <c r="A65">
        <v>63</v>
      </c>
      <c r="B65">
        <v>6.2717922570768199</v>
      </c>
      <c r="C65">
        <v>330.350892659951</v>
      </c>
      <c r="D65">
        <v>80.742278104129397</v>
      </c>
      <c r="E65">
        <v>167.36926269531199</v>
      </c>
      <c r="F65">
        <v>213.34190602116001</v>
      </c>
      <c r="G65">
        <v>45.972643325847599</v>
      </c>
      <c r="H65">
        <v>0.215488106313664</v>
      </c>
    </row>
    <row r="66" spans="1:8" x14ac:dyDescent="0.2">
      <c r="A66">
        <v>64</v>
      </c>
      <c r="B66">
        <v>82.5487813393555</v>
      </c>
      <c r="C66">
        <v>399.90258823239299</v>
      </c>
      <c r="D66">
        <v>78.679476093949802</v>
      </c>
      <c r="E66">
        <v>4085.76147460937</v>
      </c>
      <c r="F66">
        <v>3488.29689929397</v>
      </c>
      <c r="G66">
        <v>597.46457531539897</v>
      </c>
      <c r="H66">
        <v>0.17127687022177601</v>
      </c>
    </row>
    <row r="67" spans="1:8" x14ac:dyDescent="0.2">
      <c r="A67">
        <v>65</v>
      </c>
      <c r="B67">
        <v>16.4507266474101</v>
      </c>
      <c r="C67">
        <v>326.21467961899799</v>
      </c>
      <c r="D67">
        <v>91.530826861530798</v>
      </c>
      <c r="E67">
        <v>464.70770263671801</v>
      </c>
      <c r="F67">
        <v>487.45128639478298</v>
      </c>
      <c r="G67">
        <v>22.743583758064201</v>
      </c>
      <c r="H67">
        <v>4.6658167478184402E-2</v>
      </c>
    </row>
    <row r="68" spans="1:8" x14ac:dyDescent="0.2">
      <c r="A68">
        <v>66</v>
      </c>
      <c r="B68">
        <v>37.514699649664102</v>
      </c>
      <c r="C68">
        <v>384.90445218592703</v>
      </c>
      <c r="D68">
        <v>67.030664673847696</v>
      </c>
      <c r="E68">
        <v>1705.91064453125</v>
      </c>
      <c r="F68">
        <v>1790.9806869563199</v>
      </c>
      <c r="G68">
        <v>85.070042425074604</v>
      </c>
      <c r="H68">
        <v>4.74991400212397E-2</v>
      </c>
    </row>
    <row r="69" spans="1:8" x14ac:dyDescent="0.2">
      <c r="A69">
        <v>67</v>
      </c>
      <c r="B69">
        <v>31.673816655696399</v>
      </c>
      <c r="C69">
        <v>360.56831486557002</v>
      </c>
      <c r="D69">
        <v>69.286223233522307</v>
      </c>
      <c r="E69">
        <v>1293.37182617187</v>
      </c>
      <c r="F69">
        <v>1370.41180192562</v>
      </c>
      <c r="G69">
        <v>77.039975753748607</v>
      </c>
      <c r="H69">
        <v>5.6216661039766601E-2</v>
      </c>
    </row>
    <row r="70" spans="1:8" x14ac:dyDescent="0.2">
      <c r="A70">
        <v>68</v>
      </c>
      <c r="B70">
        <v>69.133703527774102</v>
      </c>
      <c r="C70">
        <v>380.60357075271202</v>
      </c>
      <c r="D70">
        <v>16.374165445316699</v>
      </c>
      <c r="E70">
        <v>16522.923828125</v>
      </c>
      <c r="F70">
        <v>13360.2174666757</v>
      </c>
      <c r="G70">
        <v>3162.7063614492799</v>
      </c>
      <c r="H70">
        <v>0.23672566478337601</v>
      </c>
    </row>
    <row r="71" spans="1:8" x14ac:dyDescent="0.2">
      <c r="A71">
        <v>69</v>
      </c>
      <c r="B71">
        <v>17.857187817437101</v>
      </c>
      <c r="C71">
        <v>363.031775544347</v>
      </c>
      <c r="D71">
        <v>2.3888813978811698</v>
      </c>
      <c r="E71">
        <v>13825.603515625</v>
      </c>
      <c r="F71">
        <v>22561.768448120401</v>
      </c>
      <c r="G71">
        <v>8736.1649324954305</v>
      </c>
      <c r="H71">
        <v>0.38721100044013701</v>
      </c>
    </row>
    <row r="72" spans="1:8" x14ac:dyDescent="0.2">
      <c r="A72">
        <v>70</v>
      </c>
      <c r="B72">
        <v>39.6256162216986</v>
      </c>
      <c r="C72">
        <v>336.26968570578401</v>
      </c>
      <c r="D72">
        <v>6.5563152418419897</v>
      </c>
      <c r="E72">
        <v>15340.982421875</v>
      </c>
      <c r="F72">
        <v>16897.168695938701</v>
      </c>
      <c r="G72">
        <v>1556.18627406374</v>
      </c>
      <c r="H72">
        <v>9.2097457394609297E-2</v>
      </c>
    </row>
    <row r="73" spans="1:8" x14ac:dyDescent="0.2">
      <c r="A73">
        <v>71</v>
      </c>
      <c r="B73">
        <v>0.58245951079809399</v>
      </c>
      <c r="C73">
        <v>376.07887845834802</v>
      </c>
      <c r="D73">
        <v>96.4461340160357</v>
      </c>
      <c r="E73">
        <v>45.004112243652301</v>
      </c>
      <c r="F73">
        <v>18.882951619278199</v>
      </c>
      <c r="G73">
        <v>26.121160624374099</v>
      </c>
      <c r="H73">
        <v>1.3833197876600001</v>
      </c>
    </row>
    <row r="74" spans="1:8" x14ac:dyDescent="0.2">
      <c r="A74">
        <v>72</v>
      </c>
      <c r="B74">
        <v>26.249471275010102</v>
      </c>
      <c r="C74">
        <v>302.64845489039698</v>
      </c>
      <c r="D74">
        <v>64.572136555963297</v>
      </c>
      <c r="E74">
        <v>915.59240722656205</v>
      </c>
      <c r="F74">
        <v>1022.87811045518</v>
      </c>
      <c r="G74">
        <v>107.28570322862301</v>
      </c>
      <c r="H74">
        <v>0.10488610728103299</v>
      </c>
    </row>
    <row r="75" spans="1:8" x14ac:dyDescent="0.2">
      <c r="A75">
        <v>73</v>
      </c>
      <c r="B75">
        <v>42.118881422895498</v>
      </c>
      <c r="C75">
        <v>344.68129517344499</v>
      </c>
      <c r="D75">
        <v>94.690666649340699</v>
      </c>
      <c r="E75">
        <v>1261.81323242187</v>
      </c>
      <c r="F75">
        <v>1274.66890370736</v>
      </c>
      <c r="G75">
        <v>12.855671285489001</v>
      </c>
      <c r="H75">
        <v>1.0085498475798999E-2</v>
      </c>
    </row>
    <row r="76" spans="1:8" x14ac:dyDescent="0.2">
      <c r="A76">
        <v>74</v>
      </c>
      <c r="B76">
        <v>10.5921236707324</v>
      </c>
      <c r="C76">
        <v>337.18545698701001</v>
      </c>
      <c r="D76">
        <v>34.938435887209501</v>
      </c>
      <c r="E76">
        <v>1016.8735961914</v>
      </c>
      <c r="F76">
        <v>849.88162429045997</v>
      </c>
      <c r="G76">
        <v>166.991971900946</v>
      </c>
      <c r="H76">
        <v>0.196488507491102</v>
      </c>
    </row>
    <row r="77" spans="1:8" x14ac:dyDescent="0.2">
      <c r="A77">
        <v>75</v>
      </c>
      <c r="B77">
        <v>63.315994603655703</v>
      </c>
      <c r="C77">
        <v>347.70740056373398</v>
      </c>
      <c r="D77">
        <v>75.522157666141396</v>
      </c>
      <c r="E77">
        <v>2560.33837890625</v>
      </c>
      <c r="F77">
        <v>2423.6114667034799</v>
      </c>
      <c r="G77">
        <v>136.72691220276499</v>
      </c>
      <c r="H77">
        <v>5.6414534293624398E-2</v>
      </c>
    </row>
    <row r="78" spans="1:8" x14ac:dyDescent="0.2">
      <c r="A78">
        <v>76</v>
      </c>
      <c r="B78">
        <v>38.042426988653197</v>
      </c>
      <c r="C78">
        <v>312.76206864960699</v>
      </c>
      <c r="D78">
        <v>6.5398965361666699</v>
      </c>
      <c r="E78">
        <v>13198.2060546875</v>
      </c>
      <c r="F78">
        <v>15125.907326976099</v>
      </c>
      <c r="G78">
        <v>1927.70127228862</v>
      </c>
      <c r="H78">
        <v>0.127443678624864</v>
      </c>
    </row>
    <row r="79" spans="1:8" x14ac:dyDescent="0.2">
      <c r="A79">
        <v>77</v>
      </c>
      <c r="B79">
        <v>72.529393807623805</v>
      </c>
      <c r="C79">
        <v>322.25068659462698</v>
      </c>
      <c r="D79">
        <v>16.620516559297101</v>
      </c>
      <c r="E79">
        <v>13811.15625</v>
      </c>
      <c r="F79">
        <v>11691.585280896201</v>
      </c>
      <c r="G79">
        <v>2119.57096910377</v>
      </c>
      <c r="H79">
        <v>0.181290297096588</v>
      </c>
    </row>
    <row r="80" spans="1:8" x14ac:dyDescent="0.2">
      <c r="A80">
        <v>78</v>
      </c>
      <c r="B80">
        <v>65.386601106839393</v>
      </c>
      <c r="C80">
        <v>356.20515900996998</v>
      </c>
      <c r="D80">
        <v>27.713333487198899</v>
      </c>
      <c r="E80">
        <v>5681.33203125</v>
      </c>
      <c r="F80">
        <v>6987.3133545211003</v>
      </c>
      <c r="G80">
        <v>1305.9813232711001</v>
      </c>
      <c r="H80">
        <v>0.18690750750802901</v>
      </c>
    </row>
    <row r="81" spans="1:8" x14ac:dyDescent="0.2">
      <c r="A81">
        <v>79</v>
      </c>
      <c r="B81">
        <v>43.1226748777406</v>
      </c>
      <c r="C81">
        <v>338.77691156559501</v>
      </c>
      <c r="D81">
        <v>55.0318251700741</v>
      </c>
      <c r="E81">
        <v>1948.42956542968</v>
      </c>
      <c r="F81">
        <v>2207.06742052455</v>
      </c>
      <c r="G81">
        <v>258.63785509486797</v>
      </c>
      <c r="H81">
        <v>0.11718620495671001</v>
      </c>
    </row>
    <row r="82" spans="1:8" x14ac:dyDescent="0.2">
      <c r="A82">
        <v>80</v>
      </c>
      <c r="B82">
        <v>86.732050564219904</v>
      </c>
      <c r="C82">
        <v>379.16562055903398</v>
      </c>
      <c r="D82">
        <v>55.740888009091002</v>
      </c>
      <c r="E82">
        <v>5088.91455078125</v>
      </c>
      <c r="F82">
        <v>4905.0642869007197</v>
      </c>
      <c r="G82">
        <v>183.85026388052299</v>
      </c>
      <c r="H82">
        <v>3.7481723607885598E-2</v>
      </c>
    </row>
    <row r="83" spans="1:8" x14ac:dyDescent="0.2">
      <c r="A83">
        <v>81</v>
      </c>
      <c r="B83">
        <v>63.2135117500167</v>
      </c>
      <c r="C83">
        <v>360.51365892775101</v>
      </c>
      <c r="D83">
        <v>49.898645230701398</v>
      </c>
      <c r="E83">
        <v>3455.9892578125</v>
      </c>
      <c r="F83">
        <v>3797.10762581981</v>
      </c>
      <c r="G83">
        <v>341.11836800731402</v>
      </c>
      <c r="H83">
        <v>8.9836370633203905E-2</v>
      </c>
    </row>
    <row r="84" spans="1:8" x14ac:dyDescent="0.2">
      <c r="A84">
        <v>82</v>
      </c>
      <c r="B84">
        <v>81.027435210629903</v>
      </c>
      <c r="C84">
        <v>386.126668478699</v>
      </c>
      <c r="D84">
        <v>42.446358463207702</v>
      </c>
      <c r="E84">
        <v>5344.9677734375</v>
      </c>
      <c r="F84">
        <v>6128.1794330146004</v>
      </c>
      <c r="G84">
        <v>783.21165957710798</v>
      </c>
      <c r="H84">
        <v>0.127804948947427</v>
      </c>
    </row>
    <row r="85" spans="1:8" x14ac:dyDescent="0.2">
      <c r="A85">
        <v>83</v>
      </c>
      <c r="B85">
        <v>34.179472394011299</v>
      </c>
      <c r="C85">
        <v>373.23608373256002</v>
      </c>
      <c r="D85">
        <v>57.570516033909797</v>
      </c>
      <c r="E85">
        <v>1651.91052246093</v>
      </c>
      <c r="F85">
        <v>1842.29373939633</v>
      </c>
      <c r="G85">
        <v>190.383216935402</v>
      </c>
      <c r="H85">
        <v>0.103340315859611</v>
      </c>
    </row>
    <row r="86" spans="1:8" x14ac:dyDescent="0.2">
      <c r="A86">
        <v>84</v>
      </c>
      <c r="B86">
        <v>54.366928966845499</v>
      </c>
      <c r="C86">
        <v>360.182344775856</v>
      </c>
      <c r="D86">
        <v>96.666239538783799</v>
      </c>
      <c r="E86">
        <v>1689.60522460937</v>
      </c>
      <c r="F86">
        <v>1684.1951740599</v>
      </c>
      <c r="G86">
        <v>5.4100505494670799</v>
      </c>
      <c r="H86">
        <v>3.2122467946667098E-3</v>
      </c>
    </row>
    <row r="87" spans="1:8" x14ac:dyDescent="0.2">
      <c r="A87">
        <v>85</v>
      </c>
      <c r="B87">
        <v>19.629688511475301</v>
      </c>
      <c r="C87">
        <v>328.761560219599</v>
      </c>
      <c r="D87">
        <v>45.807956048611899</v>
      </c>
      <c r="E87">
        <v>1005.82989501953</v>
      </c>
      <c r="F87">
        <v>1171.2876043000199</v>
      </c>
      <c r="G87">
        <v>165.45770928049299</v>
      </c>
      <c r="H87">
        <v>0.14126138505441799</v>
      </c>
    </row>
    <row r="88" spans="1:8" x14ac:dyDescent="0.2">
      <c r="A88">
        <v>86</v>
      </c>
      <c r="B88">
        <v>99.614119011862698</v>
      </c>
      <c r="C88">
        <v>378.276046792616</v>
      </c>
      <c r="D88">
        <v>83.747142179840395</v>
      </c>
      <c r="E88">
        <v>3834.74658203125</v>
      </c>
      <c r="F88">
        <v>3740.8454358827198</v>
      </c>
      <c r="G88">
        <v>93.901146148521505</v>
      </c>
      <c r="H88">
        <v>2.5101584055787999E-2</v>
      </c>
    </row>
    <row r="89" spans="1:8" x14ac:dyDescent="0.2">
      <c r="A89">
        <v>87</v>
      </c>
      <c r="B89">
        <v>24.321546430632701</v>
      </c>
      <c r="C89">
        <v>325.126757817108</v>
      </c>
      <c r="D89">
        <v>5.5871965031871103</v>
      </c>
      <c r="E89">
        <v>9910.6669921875</v>
      </c>
      <c r="F89">
        <v>11766.843372977601</v>
      </c>
      <c r="G89">
        <v>1856.17638079014</v>
      </c>
      <c r="H89">
        <v>0.15774633195618201</v>
      </c>
    </row>
    <row r="90" spans="1:8" x14ac:dyDescent="0.2">
      <c r="A90">
        <v>88</v>
      </c>
      <c r="B90">
        <v>25.6867467227102</v>
      </c>
      <c r="C90">
        <v>307.52111118144001</v>
      </c>
      <c r="D90">
        <v>38.558725723005701</v>
      </c>
      <c r="E90">
        <v>1247.61572265625</v>
      </c>
      <c r="F90">
        <v>1703.2225010542099</v>
      </c>
      <c r="G90">
        <v>455.60677839796</v>
      </c>
      <c r="H90">
        <v>0.26749692310661799</v>
      </c>
    </row>
    <row r="91" spans="1:8" x14ac:dyDescent="0.2">
      <c r="A91">
        <v>89</v>
      </c>
      <c r="B91">
        <v>7.3190072390965897</v>
      </c>
      <c r="C91">
        <v>396.286457844322</v>
      </c>
      <c r="D91">
        <v>56.049644364239903</v>
      </c>
      <c r="E91">
        <v>724.09460449218705</v>
      </c>
      <c r="F91">
        <v>430.22789649671603</v>
      </c>
      <c r="G91">
        <v>293.86670799546999</v>
      </c>
      <c r="H91">
        <v>0.68304893845421</v>
      </c>
    </row>
    <row r="92" spans="1:8" x14ac:dyDescent="0.2">
      <c r="A92">
        <v>90</v>
      </c>
      <c r="B92">
        <v>25.780311899673599</v>
      </c>
      <c r="C92">
        <v>354.001120509646</v>
      </c>
      <c r="D92">
        <v>62.0320555654937</v>
      </c>
      <c r="E92">
        <v>1133.99865722656</v>
      </c>
      <c r="F92">
        <v>1223.1695229982599</v>
      </c>
      <c r="G92">
        <v>89.1708657717069</v>
      </c>
      <c r="H92">
        <v>7.2901477755208194E-2</v>
      </c>
    </row>
    <row r="93" spans="1:8" x14ac:dyDescent="0.2">
      <c r="A93">
        <v>91</v>
      </c>
      <c r="B93">
        <v>76.312853254405297</v>
      </c>
      <c r="C93">
        <v>377.38942975498099</v>
      </c>
      <c r="D93">
        <v>25.0018339932011</v>
      </c>
      <c r="E93">
        <v>7861.3134765625</v>
      </c>
      <c r="F93">
        <v>9576.9137574695797</v>
      </c>
      <c r="G93">
        <v>1715.6002809070801</v>
      </c>
      <c r="H93">
        <v>0.17913915947807099</v>
      </c>
    </row>
    <row r="94" spans="1:8" x14ac:dyDescent="0.2">
      <c r="A94">
        <v>92</v>
      </c>
      <c r="B94">
        <v>69.789357068308107</v>
      </c>
      <c r="C94">
        <v>352.92228076303599</v>
      </c>
      <c r="D94">
        <v>39.929101348659501</v>
      </c>
      <c r="E94">
        <v>4116.0439453125</v>
      </c>
      <c r="F94">
        <v>5128.4810934261995</v>
      </c>
      <c r="G94">
        <v>1012.4371481137</v>
      </c>
      <c r="H94">
        <v>0.19741462036614801</v>
      </c>
    </row>
    <row r="95" spans="1:8" x14ac:dyDescent="0.2">
      <c r="A95">
        <v>93</v>
      </c>
      <c r="B95">
        <v>12.8673212317169</v>
      </c>
      <c r="C95">
        <v>361.15797303718199</v>
      </c>
      <c r="D95">
        <v>94.700616873569004</v>
      </c>
      <c r="E95">
        <v>446.69009399414</v>
      </c>
      <c r="F95">
        <v>407.98346522710898</v>
      </c>
      <c r="G95">
        <v>38.7066287670308</v>
      </c>
      <c r="H95">
        <v>9.4873033017365604E-2</v>
      </c>
    </row>
    <row r="96" spans="1:8" x14ac:dyDescent="0.2">
      <c r="A96">
        <v>94</v>
      </c>
      <c r="B96">
        <v>37.623850142809403</v>
      </c>
      <c r="C96">
        <v>303.38922505164999</v>
      </c>
      <c r="D96">
        <v>64.885075401194896</v>
      </c>
      <c r="E96">
        <v>1339.77136230468</v>
      </c>
      <c r="F96">
        <v>1462.6101908847399</v>
      </c>
      <c r="G96">
        <v>122.838828580061</v>
      </c>
      <c r="H96">
        <v>8.3986033562199594E-2</v>
      </c>
    </row>
    <row r="97" spans="1:8" x14ac:dyDescent="0.2">
      <c r="A97">
        <v>95</v>
      </c>
      <c r="B97">
        <v>42.0921394617462</v>
      </c>
      <c r="C97">
        <v>318.67936793538001</v>
      </c>
      <c r="D97">
        <v>58.496624841229398</v>
      </c>
      <c r="E97">
        <v>1719.70092773437</v>
      </c>
      <c r="F97">
        <v>1906.4883651258299</v>
      </c>
      <c r="G97">
        <v>186.78743739146</v>
      </c>
      <c r="H97">
        <v>9.7974601265993902E-2</v>
      </c>
    </row>
    <row r="98" spans="1:8" x14ac:dyDescent="0.2">
      <c r="A98">
        <v>96</v>
      </c>
      <c r="B98">
        <v>66.498424636196006</v>
      </c>
      <c r="C98">
        <v>367.46893954347701</v>
      </c>
      <c r="D98">
        <v>6.5298710519840899</v>
      </c>
      <c r="E98">
        <v>32485.5</v>
      </c>
      <c r="F98">
        <v>31112.678978574</v>
      </c>
      <c r="G98">
        <v>1372.82102142598</v>
      </c>
      <c r="H98">
        <v>4.4124166304399297E-2</v>
      </c>
    </row>
    <row r="99" spans="1:8" x14ac:dyDescent="0.2">
      <c r="A99">
        <v>97</v>
      </c>
      <c r="B99">
        <v>45.592896304374797</v>
      </c>
      <c r="C99">
        <v>357.056459795249</v>
      </c>
      <c r="D99">
        <v>5.2176257643147697</v>
      </c>
      <c r="E99">
        <v>21936.47265625</v>
      </c>
      <c r="F99">
        <v>25940.071607591399</v>
      </c>
      <c r="G99">
        <v>4003.5989513414702</v>
      </c>
      <c r="H99">
        <v>0.15434031994614</v>
      </c>
    </row>
    <row r="100" spans="1:8" x14ac:dyDescent="0.2">
      <c r="A100">
        <v>98</v>
      </c>
      <c r="B100">
        <v>58.651832682553099</v>
      </c>
      <c r="C100">
        <v>315.85550339867098</v>
      </c>
      <c r="D100">
        <v>21.139844783206399</v>
      </c>
      <c r="E100">
        <v>5106.2822265625</v>
      </c>
      <c r="F100">
        <v>7285.8170424721302</v>
      </c>
      <c r="G100">
        <v>2179.5348159096302</v>
      </c>
      <c r="H100">
        <v>0.29914761833905401</v>
      </c>
    </row>
    <row r="101" spans="1:8" x14ac:dyDescent="0.2">
      <c r="A101">
        <v>99</v>
      </c>
      <c r="B101">
        <v>83.968460360894198</v>
      </c>
      <c r="C101">
        <v>395.20292687261798</v>
      </c>
      <c r="D101">
        <v>13.7822775848633</v>
      </c>
      <c r="E101">
        <v>30473.353515625</v>
      </c>
      <c r="F101">
        <v>20018.215946251901</v>
      </c>
      <c r="G101">
        <v>10455.137569373001</v>
      </c>
      <c r="H101">
        <v>0.522281186167871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CEDAD-1555-6C45-9ED7-B3508F9EC727}">
  <dimension ref="A1:C88"/>
  <sheetViews>
    <sheetView workbookViewId="0">
      <selection activeCell="F89" sqref="F89"/>
    </sheetView>
  </sheetViews>
  <sheetFormatPr baseColWidth="10" defaultRowHeight="16" x14ac:dyDescent="0.2"/>
  <sheetData>
    <row r="1" spans="1:3" x14ac:dyDescent="0.2">
      <c r="A1" t="s">
        <v>12</v>
      </c>
      <c r="B1" t="s">
        <v>11</v>
      </c>
      <c r="C1" t="s">
        <v>8</v>
      </c>
    </row>
    <row r="2" spans="1:3" x14ac:dyDescent="0.2">
      <c r="A2">
        <v>0</v>
      </c>
      <c r="B2">
        <v>5790.3633359058704</v>
      </c>
      <c r="C2">
        <v>7247.5525461893003</v>
      </c>
    </row>
    <row r="3" spans="1:3" x14ac:dyDescent="0.2">
      <c r="A3">
        <v>1</v>
      </c>
      <c r="B3">
        <v>5763.0294846117804</v>
      </c>
      <c r="C3">
        <v>7241.8161976757801</v>
      </c>
    </row>
    <row r="4" spans="1:3" x14ac:dyDescent="0.2">
      <c r="A4">
        <v>2</v>
      </c>
      <c r="B4">
        <v>5757.1357787696097</v>
      </c>
      <c r="C4">
        <v>7240.3010989622098</v>
      </c>
    </row>
    <row r="5" spans="1:3" x14ac:dyDescent="0.2">
      <c r="A5">
        <v>3</v>
      </c>
      <c r="B5">
        <v>5755.3932555833298</v>
      </c>
      <c r="C5">
        <v>7239.4219180095397</v>
      </c>
    </row>
    <row r="6" spans="1:3" x14ac:dyDescent="0.2">
      <c r="A6">
        <v>4</v>
      </c>
      <c r="B6">
        <v>5754.3281086233901</v>
      </c>
      <c r="C6">
        <v>7234.4430374141202</v>
      </c>
    </row>
    <row r="7" spans="1:3" x14ac:dyDescent="0.2">
      <c r="A7">
        <v>5</v>
      </c>
      <c r="B7">
        <v>5745.6396466802798</v>
      </c>
      <c r="C7">
        <v>7004.4859355549697</v>
      </c>
    </row>
    <row r="8" spans="1:3" x14ac:dyDescent="0.2">
      <c r="A8">
        <v>8</v>
      </c>
      <c r="B8">
        <v>5556.6950240635897</v>
      </c>
      <c r="C8">
        <v>6372.1474724329501</v>
      </c>
    </row>
    <row r="9" spans="1:3" x14ac:dyDescent="0.2">
      <c r="A9">
        <v>10</v>
      </c>
      <c r="B9">
        <v>5472.0957420589702</v>
      </c>
      <c r="C9">
        <v>5581.5861321009197</v>
      </c>
    </row>
    <row r="10" spans="1:3" x14ac:dyDescent="0.2">
      <c r="A10">
        <v>16</v>
      </c>
      <c r="B10">
        <v>4211.6009165635496</v>
      </c>
      <c r="C10">
        <v>5575.4113579309997</v>
      </c>
    </row>
    <row r="11" spans="1:3" x14ac:dyDescent="0.2">
      <c r="A11">
        <v>17</v>
      </c>
      <c r="B11">
        <v>3689.3080016079998</v>
      </c>
      <c r="C11">
        <v>5530.7023125208498</v>
      </c>
    </row>
    <row r="12" spans="1:3" x14ac:dyDescent="0.2">
      <c r="A12">
        <v>18</v>
      </c>
      <c r="B12">
        <v>3635.3133475098098</v>
      </c>
      <c r="C12">
        <v>5383.7876701868599</v>
      </c>
    </row>
    <row r="13" spans="1:3" x14ac:dyDescent="0.2">
      <c r="A13">
        <v>19</v>
      </c>
      <c r="B13">
        <v>3589.71456233243</v>
      </c>
      <c r="C13">
        <v>5367.4180717981899</v>
      </c>
    </row>
    <row r="14" spans="1:3" x14ac:dyDescent="0.2">
      <c r="A14">
        <v>20</v>
      </c>
      <c r="B14">
        <v>3529.5556739490798</v>
      </c>
      <c r="C14">
        <v>5357.0359459437004</v>
      </c>
    </row>
    <row r="15" spans="1:3" x14ac:dyDescent="0.2">
      <c r="A15">
        <v>21</v>
      </c>
      <c r="B15">
        <v>3467.00973089937</v>
      </c>
      <c r="C15">
        <v>5244.7825127161605</v>
      </c>
    </row>
    <row r="16" spans="1:3" x14ac:dyDescent="0.2">
      <c r="A16">
        <v>23</v>
      </c>
      <c r="B16">
        <v>3334.51807329549</v>
      </c>
      <c r="C16">
        <v>5149.2675438440901</v>
      </c>
    </row>
    <row r="17" spans="1:3" x14ac:dyDescent="0.2">
      <c r="A17">
        <v>24</v>
      </c>
      <c r="B17">
        <v>3253.7640463623402</v>
      </c>
      <c r="C17">
        <v>5070.7683534031803</v>
      </c>
    </row>
    <row r="18" spans="1:3" x14ac:dyDescent="0.2">
      <c r="A18">
        <v>25</v>
      </c>
      <c r="B18">
        <v>3189.5050947551399</v>
      </c>
      <c r="C18">
        <v>5016.2381216879903</v>
      </c>
    </row>
    <row r="19" spans="1:3" x14ac:dyDescent="0.2">
      <c r="A19">
        <v>28</v>
      </c>
      <c r="B19">
        <v>4165.2120466299502</v>
      </c>
      <c r="C19">
        <v>4899.9138764744703</v>
      </c>
    </row>
    <row r="20" spans="1:3" x14ac:dyDescent="0.2">
      <c r="A20">
        <v>29</v>
      </c>
      <c r="B20">
        <v>3074.6981484633902</v>
      </c>
      <c r="C20">
        <v>4872.7651699827002</v>
      </c>
    </row>
    <row r="21" spans="1:3" x14ac:dyDescent="0.2">
      <c r="A21">
        <v>42</v>
      </c>
      <c r="B21">
        <v>3551.45824432477</v>
      </c>
      <c r="C21">
        <v>4755.1980561619703</v>
      </c>
    </row>
    <row r="22" spans="1:3" x14ac:dyDescent="0.2">
      <c r="A22">
        <v>44</v>
      </c>
      <c r="B22">
        <v>3509.05834796316</v>
      </c>
      <c r="C22">
        <v>4713.1113557225099</v>
      </c>
    </row>
    <row r="23" spans="1:3" x14ac:dyDescent="0.2">
      <c r="A23">
        <v>52</v>
      </c>
      <c r="B23">
        <v>3713.8928080835499</v>
      </c>
      <c r="C23">
        <v>4415.6393119840104</v>
      </c>
    </row>
    <row r="24" spans="1:3" x14ac:dyDescent="0.2">
      <c r="A24">
        <v>56</v>
      </c>
      <c r="B24">
        <v>3041.6170705984</v>
      </c>
      <c r="C24">
        <v>4381.7603141812797</v>
      </c>
    </row>
    <row r="25" spans="1:3" x14ac:dyDescent="0.2">
      <c r="A25">
        <v>60</v>
      </c>
      <c r="B25">
        <v>3017.3069391786098</v>
      </c>
      <c r="C25">
        <v>4342.5128471402604</v>
      </c>
    </row>
    <row r="26" spans="1:3" x14ac:dyDescent="0.2">
      <c r="A26">
        <v>62</v>
      </c>
      <c r="B26">
        <v>3013.68999243803</v>
      </c>
      <c r="C26">
        <v>4310.85880203528</v>
      </c>
    </row>
    <row r="27" spans="1:3" x14ac:dyDescent="0.2">
      <c r="A27">
        <v>64</v>
      </c>
      <c r="B27">
        <v>3014.08062480733</v>
      </c>
      <c r="C27">
        <v>4278.9704353360603</v>
      </c>
    </row>
    <row r="28" spans="1:3" x14ac:dyDescent="0.2">
      <c r="A28">
        <v>76</v>
      </c>
      <c r="B28">
        <v>3181.83710031182</v>
      </c>
      <c r="C28">
        <v>4246.8463729148498</v>
      </c>
    </row>
    <row r="29" spans="1:3" x14ac:dyDescent="0.2">
      <c r="A29">
        <v>78</v>
      </c>
      <c r="B29">
        <v>2953.8258226236599</v>
      </c>
      <c r="C29">
        <v>4214.1591094260802</v>
      </c>
    </row>
    <row r="30" spans="1:3" x14ac:dyDescent="0.2">
      <c r="A30">
        <v>80</v>
      </c>
      <c r="B30">
        <v>2935.90961149542</v>
      </c>
      <c r="C30">
        <v>4178.9754470115304</v>
      </c>
    </row>
    <row r="31" spans="1:3" x14ac:dyDescent="0.2">
      <c r="A31">
        <v>82</v>
      </c>
      <c r="B31">
        <v>2906.5162981742201</v>
      </c>
      <c r="C31">
        <v>4139.87408669048</v>
      </c>
    </row>
    <row r="32" spans="1:3" x14ac:dyDescent="0.2">
      <c r="A32">
        <v>86</v>
      </c>
      <c r="B32">
        <v>3174.7003668502398</v>
      </c>
      <c r="C32">
        <v>4123.5511420493704</v>
      </c>
    </row>
    <row r="33" spans="1:3" x14ac:dyDescent="0.2">
      <c r="A33">
        <v>88</v>
      </c>
      <c r="B33">
        <v>2865.0806475874701</v>
      </c>
      <c r="C33">
        <v>4109.5542938260496</v>
      </c>
    </row>
    <row r="34" spans="1:3" x14ac:dyDescent="0.2">
      <c r="A34">
        <v>90</v>
      </c>
      <c r="B34">
        <v>3137.4352129653498</v>
      </c>
      <c r="C34">
        <v>4101.2803900962399</v>
      </c>
    </row>
    <row r="35" spans="1:3" x14ac:dyDescent="0.2">
      <c r="A35">
        <v>94</v>
      </c>
      <c r="B35">
        <v>2869.1343946345401</v>
      </c>
      <c r="C35">
        <v>4065.7167533164602</v>
      </c>
    </row>
    <row r="36" spans="1:3" x14ac:dyDescent="0.2">
      <c r="A36">
        <v>98</v>
      </c>
      <c r="B36">
        <v>2829.8146092996999</v>
      </c>
      <c r="C36">
        <v>4036.84330208355</v>
      </c>
    </row>
    <row r="37" spans="1:3" x14ac:dyDescent="0.2">
      <c r="A37">
        <v>116</v>
      </c>
      <c r="B37">
        <v>2684.5561721435301</v>
      </c>
      <c r="C37">
        <v>3973.0140462177001</v>
      </c>
    </row>
    <row r="38" spans="1:3" x14ac:dyDescent="0.2">
      <c r="A38">
        <v>118</v>
      </c>
      <c r="B38">
        <v>3180.6699049753702</v>
      </c>
      <c r="C38">
        <v>3968.5154309528102</v>
      </c>
    </row>
    <row r="39" spans="1:3" x14ac:dyDescent="0.2">
      <c r="A39">
        <v>120</v>
      </c>
      <c r="B39">
        <v>3142.0953109328502</v>
      </c>
      <c r="C39">
        <v>3962.3064236896298</v>
      </c>
    </row>
    <row r="40" spans="1:3" x14ac:dyDescent="0.2">
      <c r="A40">
        <v>122</v>
      </c>
      <c r="B40">
        <v>2925.1231674437799</v>
      </c>
      <c r="C40">
        <v>3852.5787053363501</v>
      </c>
    </row>
    <row r="41" spans="1:3" x14ac:dyDescent="0.2">
      <c r="A41">
        <v>134</v>
      </c>
      <c r="B41">
        <v>2836.2716535161499</v>
      </c>
      <c r="C41">
        <v>3784.83585789373</v>
      </c>
    </row>
    <row r="42" spans="1:3" x14ac:dyDescent="0.2">
      <c r="A42">
        <v>146</v>
      </c>
      <c r="B42">
        <v>2817.7959310514998</v>
      </c>
      <c r="C42">
        <v>3725.7747769611101</v>
      </c>
    </row>
    <row r="43" spans="1:3" x14ac:dyDescent="0.2">
      <c r="A43">
        <v>154</v>
      </c>
      <c r="B43">
        <v>2823.4527754506898</v>
      </c>
      <c r="C43">
        <v>3695.45352223089</v>
      </c>
    </row>
    <row r="44" spans="1:3" x14ac:dyDescent="0.2">
      <c r="A44">
        <v>160</v>
      </c>
      <c r="B44">
        <v>2811.2272333280198</v>
      </c>
      <c r="C44">
        <v>3662.04582264592</v>
      </c>
    </row>
    <row r="45" spans="1:3" x14ac:dyDescent="0.2">
      <c r="A45">
        <v>164</v>
      </c>
      <c r="B45">
        <v>2812.8747238402698</v>
      </c>
      <c r="C45">
        <v>3625.0308537738501</v>
      </c>
    </row>
    <row r="46" spans="1:3" x14ac:dyDescent="0.2">
      <c r="A46">
        <v>166</v>
      </c>
      <c r="B46">
        <v>2767.3100832965902</v>
      </c>
      <c r="C46">
        <v>3514.0285687701898</v>
      </c>
    </row>
    <row r="47" spans="1:3" x14ac:dyDescent="0.2">
      <c r="A47">
        <v>170</v>
      </c>
      <c r="B47">
        <v>2739.0855990588302</v>
      </c>
      <c r="C47">
        <v>3439.9606099384</v>
      </c>
    </row>
    <row r="48" spans="1:3" x14ac:dyDescent="0.2">
      <c r="A48">
        <v>174</v>
      </c>
      <c r="B48">
        <v>2704.30995100679</v>
      </c>
      <c r="C48">
        <v>3347.99676373174</v>
      </c>
    </row>
    <row r="49" spans="1:3" x14ac:dyDescent="0.2">
      <c r="A49">
        <v>178</v>
      </c>
      <c r="B49">
        <v>2664.41600978317</v>
      </c>
      <c r="C49">
        <v>3238.03826763799</v>
      </c>
    </row>
    <row r="50" spans="1:3" x14ac:dyDescent="0.2">
      <c r="A50">
        <v>182</v>
      </c>
      <c r="B50">
        <v>2617.1749892380799</v>
      </c>
      <c r="C50">
        <v>3216.93402149846</v>
      </c>
    </row>
    <row r="51" spans="1:3" x14ac:dyDescent="0.2">
      <c r="A51">
        <v>184</v>
      </c>
      <c r="B51">
        <v>2601.5054236210499</v>
      </c>
      <c r="C51">
        <v>2923.8007836597199</v>
      </c>
    </row>
    <row r="52" spans="1:3" x14ac:dyDescent="0.2">
      <c r="A52">
        <v>195</v>
      </c>
      <c r="B52">
        <v>2410.0582993737999</v>
      </c>
      <c r="C52">
        <v>2453.2667145984401</v>
      </c>
    </row>
    <row r="53" spans="1:3" x14ac:dyDescent="0.2">
      <c r="A53">
        <v>210</v>
      </c>
      <c r="B53">
        <v>1948.32458986186</v>
      </c>
      <c r="C53">
        <v>1942.88634659533</v>
      </c>
    </row>
    <row r="54" spans="1:3" x14ac:dyDescent="0.2">
      <c r="A54">
        <v>217</v>
      </c>
      <c r="B54">
        <v>1818.6754269963601</v>
      </c>
      <c r="C54">
        <v>1707.13665415529</v>
      </c>
    </row>
    <row r="55" spans="1:3" x14ac:dyDescent="0.2">
      <c r="A55">
        <v>224</v>
      </c>
      <c r="B55">
        <v>1542.2280632721599</v>
      </c>
      <c r="C55">
        <v>1193.7568914751901</v>
      </c>
    </row>
    <row r="56" spans="1:3" x14ac:dyDescent="0.2">
      <c r="A56">
        <v>263</v>
      </c>
      <c r="B56">
        <v>1461.80523928146</v>
      </c>
      <c r="C56">
        <v>1186.2993003297199</v>
      </c>
    </row>
    <row r="57" spans="1:3" x14ac:dyDescent="0.2">
      <c r="A57">
        <v>1378</v>
      </c>
      <c r="B57">
        <v>725.64741611629995</v>
      </c>
      <c r="C57">
        <v>1164.00438320735</v>
      </c>
    </row>
    <row r="58" spans="1:3" x14ac:dyDescent="0.2">
      <c r="A58">
        <v>1525</v>
      </c>
      <c r="B58">
        <v>667.899846945435</v>
      </c>
      <c r="C58">
        <v>1132.60932762023</v>
      </c>
    </row>
    <row r="59" spans="1:3" x14ac:dyDescent="0.2">
      <c r="A59">
        <v>1582</v>
      </c>
      <c r="B59">
        <v>693.23022205933898</v>
      </c>
      <c r="C59">
        <v>1120.3178139934901</v>
      </c>
    </row>
    <row r="60" spans="1:3" x14ac:dyDescent="0.2">
      <c r="A60">
        <v>1648</v>
      </c>
      <c r="B60">
        <v>688.35819168484204</v>
      </c>
      <c r="C60">
        <v>1073.3650848852601</v>
      </c>
    </row>
    <row r="61" spans="1:3" x14ac:dyDescent="0.2">
      <c r="A61">
        <v>1685</v>
      </c>
      <c r="B61">
        <v>704.29155743781303</v>
      </c>
      <c r="C61">
        <v>1027.62720799317</v>
      </c>
    </row>
    <row r="62" spans="1:3" x14ac:dyDescent="0.2">
      <c r="A62">
        <v>1807</v>
      </c>
      <c r="B62">
        <v>617.38323443696697</v>
      </c>
      <c r="C62">
        <v>941.02196133235805</v>
      </c>
    </row>
    <row r="63" spans="1:3" x14ac:dyDescent="0.2">
      <c r="A63">
        <v>2016</v>
      </c>
      <c r="B63">
        <v>1236.73000882561</v>
      </c>
      <c r="C63">
        <v>917.14786285527305</v>
      </c>
    </row>
    <row r="64" spans="1:3" x14ac:dyDescent="0.2">
      <c r="A64">
        <v>2242</v>
      </c>
      <c r="B64">
        <v>1302.1819077472301</v>
      </c>
      <c r="C64">
        <v>865.92030174133004</v>
      </c>
    </row>
    <row r="65" spans="1:3" x14ac:dyDescent="0.2">
      <c r="A65">
        <v>2318</v>
      </c>
      <c r="B65">
        <v>1216.9000310965</v>
      </c>
      <c r="C65">
        <v>788.48789054748204</v>
      </c>
    </row>
    <row r="66" spans="1:3" x14ac:dyDescent="0.2">
      <c r="A66">
        <v>2505</v>
      </c>
      <c r="B66">
        <v>1236.3102984929101</v>
      </c>
      <c r="C66">
        <v>671.46793205138897</v>
      </c>
    </row>
    <row r="67" spans="1:3" x14ac:dyDescent="0.2">
      <c r="A67">
        <v>2589</v>
      </c>
      <c r="B67">
        <v>1242.72966966434</v>
      </c>
      <c r="C67">
        <v>671.27219909794906</v>
      </c>
    </row>
    <row r="68" spans="1:3" x14ac:dyDescent="0.2">
      <c r="A68">
        <v>2959</v>
      </c>
      <c r="B68">
        <v>1115.9357740447799</v>
      </c>
      <c r="C68">
        <v>544.95039970275604</v>
      </c>
    </row>
    <row r="69" spans="1:3" x14ac:dyDescent="0.2">
      <c r="A69">
        <v>3669</v>
      </c>
      <c r="B69">
        <v>603.57151263520905</v>
      </c>
      <c r="C69">
        <v>504.82883209355401</v>
      </c>
    </row>
    <row r="70" spans="1:3" x14ac:dyDescent="0.2">
      <c r="A70">
        <v>3777</v>
      </c>
      <c r="B70">
        <v>574.23742526379306</v>
      </c>
      <c r="C70">
        <v>491.25934875467902</v>
      </c>
    </row>
    <row r="71" spans="1:3" x14ac:dyDescent="0.2">
      <c r="A71">
        <v>3968</v>
      </c>
      <c r="B71">
        <v>605.39742014200397</v>
      </c>
      <c r="C71">
        <v>474.23132598856603</v>
      </c>
    </row>
    <row r="72" spans="1:3" x14ac:dyDescent="0.2">
      <c r="A72">
        <v>3990</v>
      </c>
      <c r="B72">
        <v>652.79002126890896</v>
      </c>
      <c r="C72">
        <v>461.27040374735498</v>
      </c>
    </row>
    <row r="73" spans="1:3" x14ac:dyDescent="0.2">
      <c r="A73">
        <v>4036</v>
      </c>
      <c r="B73">
        <v>679.49485351933095</v>
      </c>
      <c r="C73">
        <v>420.280574567006</v>
      </c>
    </row>
    <row r="74" spans="1:3" x14ac:dyDescent="0.2">
      <c r="A74">
        <v>4101</v>
      </c>
      <c r="B74">
        <v>560.45429233428104</v>
      </c>
      <c r="C74">
        <v>404.99383819559699</v>
      </c>
    </row>
    <row r="75" spans="1:3" x14ac:dyDescent="0.2">
      <c r="A75">
        <v>4107</v>
      </c>
      <c r="B75">
        <v>1217.89202225591</v>
      </c>
      <c r="C75">
        <v>265.61703849522797</v>
      </c>
    </row>
    <row r="76" spans="1:3" x14ac:dyDescent="0.2">
      <c r="A76">
        <v>4548</v>
      </c>
      <c r="B76">
        <v>615.58681123532699</v>
      </c>
      <c r="C76">
        <v>242.39137853884</v>
      </c>
    </row>
    <row r="77" spans="1:3" x14ac:dyDescent="0.2">
      <c r="A77">
        <v>10836</v>
      </c>
      <c r="B77">
        <v>1171.19870206826</v>
      </c>
      <c r="C77">
        <v>229.89790930055901</v>
      </c>
    </row>
    <row r="78" spans="1:3" x14ac:dyDescent="0.2">
      <c r="A78">
        <v>17407</v>
      </c>
      <c r="B78">
        <v>468.00103951186497</v>
      </c>
      <c r="C78">
        <v>228.321730632905</v>
      </c>
    </row>
    <row r="79" spans="1:3" x14ac:dyDescent="0.2">
      <c r="A79">
        <v>35137</v>
      </c>
      <c r="B79">
        <v>540.08380482350003</v>
      </c>
      <c r="C79">
        <v>224.54327978395801</v>
      </c>
    </row>
    <row r="80" spans="1:3" x14ac:dyDescent="0.2">
      <c r="A80">
        <v>36095</v>
      </c>
      <c r="B80">
        <v>491.32666391029699</v>
      </c>
      <c r="C80">
        <v>219.18237823613299</v>
      </c>
    </row>
    <row r="81" spans="1:3" x14ac:dyDescent="0.2">
      <c r="A81">
        <v>51416</v>
      </c>
      <c r="B81">
        <v>472.215598099825</v>
      </c>
      <c r="C81">
        <v>213.37917846806599</v>
      </c>
    </row>
    <row r="82" spans="1:3" x14ac:dyDescent="0.2">
      <c r="A82">
        <v>200802</v>
      </c>
      <c r="B82">
        <v>94.446817946697195</v>
      </c>
      <c r="C82">
        <v>212.68554622346699</v>
      </c>
    </row>
    <row r="83" spans="1:3" x14ac:dyDescent="0.2">
      <c r="A83">
        <v>201091</v>
      </c>
      <c r="B83">
        <v>84.258572092973793</v>
      </c>
      <c r="C83">
        <v>212.34084254915001</v>
      </c>
    </row>
    <row r="84" spans="1:3" x14ac:dyDescent="0.2">
      <c r="A84">
        <v>201242</v>
      </c>
      <c r="B84">
        <v>91.604423615165501</v>
      </c>
      <c r="C84">
        <v>209.84301692659199</v>
      </c>
    </row>
    <row r="85" spans="1:3" x14ac:dyDescent="0.2">
      <c r="A85">
        <v>201359</v>
      </c>
      <c r="B85">
        <v>90.014401580384899</v>
      </c>
      <c r="C85">
        <v>208.67129451448201</v>
      </c>
    </row>
    <row r="86" spans="1:3" x14ac:dyDescent="0.2">
      <c r="A86">
        <v>201508</v>
      </c>
      <c r="B86">
        <v>82.128269490379196</v>
      </c>
      <c r="C86">
        <v>207.38788991342699</v>
      </c>
    </row>
    <row r="87" spans="1:3" x14ac:dyDescent="0.2">
      <c r="A87">
        <v>201591</v>
      </c>
      <c r="B87">
        <v>83.5231422721032</v>
      </c>
      <c r="C87">
        <v>205.78191282284601</v>
      </c>
    </row>
    <row r="88" spans="1:3" x14ac:dyDescent="0.2">
      <c r="A88">
        <v>201766</v>
      </c>
      <c r="B88">
        <v>86.532349787664998</v>
      </c>
      <c r="C88">
        <v>205.16621061190099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ideal_gas_melted</vt:lpstr>
      <vt:lpstr>ideal_gas_</vt:lpstr>
      <vt:lpstr>Loss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 H</dc:creator>
  <cp:lastModifiedBy>E H</cp:lastModifiedBy>
  <dcterms:created xsi:type="dcterms:W3CDTF">2026-06-28T01:25:04Z</dcterms:created>
  <dcterms:modified xsi:type="dcterms:W3CDTF">2026-07-20T00:40:05Z</dcterms:modified>
</cp:coreProperties>
</file>